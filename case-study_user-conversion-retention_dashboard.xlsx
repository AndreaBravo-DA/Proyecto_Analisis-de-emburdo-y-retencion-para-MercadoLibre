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97B5143-115E-4F5D-A8B6-08B139B12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CFI " sheetId="6" r:id="rId1"/>
    <sheet name="Embudo General" sheetId="2" r:id="rId2"/>
    <sheet name="Embudo General por país" sheetId="3" r:id="rId3"/>
    <sheet name="Retención por País" sheetId="4" r:id="rId4"/>
    <sheet name="Retención por cohorte" sheetId="5" r:id="rId5"/>
    <sheet name="Total de usuarios por cohorte" sheetId="7" r:id="rId6"/>
  </sheets>
  <definedNames>
    <definedName name="_xlnm._FilterDatabase" localSheetId="2" hidden="1">'Embudo General por país'!$A$2:$L$2</definedName>
    <definedName name="Z_B4689923_BFB1_4959_AD38_52E20EC7A981_.wvu.Cols" localSheetId="2" hidden="1">'Embudo General por país'!$B:$D</definedName>
    <definedName name="Z_B4689923_BFB1_4959_AD38_52E20EC7A981_.wvu.FilterData" localSheetId="2" hidden="1">'Embudo General por país'!$A$2:$M$2</definedName>
  </definedNames>
  <calcPr calcId="191029"/>
  <customWorkbookViews>
    <customWorkbookView name="-" guid="{B4689923-BFB1-4959-AD38-52E20EC7A981}" maximized="1" xWindow="-9" yWindow="-9" windowWidth="1938" windowHeight="1038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7" l="1"/>
  <c r="F34" i="3"/>
  <c r="F35" i="3"/>
  <c r="F36" i="3"/>
  <c r="F37" i="3"/>
  <c r="F38" i="3"/>
  <c r="F39" i="3"/>
  <c r="F40" i="3"/>
  <c r="F41" i="3"/>
  <c r="F42" i="3"/>
  <c r="F43" i="3"/>
  <c r="E34" i="3"/>
  <c r="E35" i="3"/>
  <c r="E36" i="3"/>
  <c r="E37" i="3"/>
  <c r="E38" i="3"/>
  <c r="E39" i="3"/>
  <c r="E40" i="3"/>
  <c r="E41" i="3"/>
  <c r="E42" i="3"/>
  <c r="E43" i="3"/>
  <c r="L26" i="3"/>
  <c r="K26" i="3"/>
  <c r="J26" i="3"/>
  <c r="I26" i="3"/>
  <c r="H26" i="3"/>
  <c r="G26" i="3"/>
  <c r="F26" i="3"/>
  <c r="E26" i="3"/>
  <c r="D26" i="3"/>
  <c r="C26" i="3"/>
  <c r="B13" i="4"/>
  <c r="C13" i="4"/>
  <c r="D13" i="4"/>
  <c r="E13" i="4"/>
  <c r="M21" i="4"/>
  <c r="M20" i="4"/>
  <c r="M19" i="4"/>
  <c r="M18" i="4"/>
  <c r="C11" i="5"/>
  <c r="D11" i="5"/>
  <c r="E11" i="5"/>
  <c r="B11" i="5"/>
  <c r="B5" i="7"/>
  <c r="B13" i="7" s="1"/>
  <c r="C13" i="7"/>
  <c r="E9" i="7"/>
  <c r="B6" i="7"/>
  <c r="C6" i="7"/>
  <c r="D6" i="7"/>
  <c r="E6" i="7"/>
  <c r="B7" i="7"/>
  <c r="C7" i="7"/>
  <c r="D7" i="7"/>
  <c r="E7" i="7"/>
  <c r="B8" i="7"/>
  <c r="C8" i="7"/>
  <c r="D8" i="7"/>
  <c r="E8" i="7"/>
  <c r="B9" i="7"/>
  <c r="C9" i="7"/>
  <c r="D9" i="7"/>
  <c r="B10" i="7"/>
  <c r="C10" i="7"/>
  <c r="D10" i="7"/>
  <c r="E10" i="7"/>
  <c r="B11" i="7"/>
  <c r="C11" i="7"/>
  <c r="D11" i="7"/>
  <c r="E11" i="7"/>
  <c r="B12" i="7"/>
  <c r="C12" i="7"/>
  <c r="D12" i="7"/>
  <c r="E12" i="7"/>
  <c r="C5" i="7"/>
  <c r="D5" i="7"/>
  <c r="D13" i="7" s="1"/>
  <c r="E5" i="7"/>
  <c r="E13" i="7" s="1"/>
  <c r="H12" i="3"/>
  <c r="H4" i="3"/>
  <c r="H6" i="3"/>
  <c r="H3" i="3"/>
  <c r="H7" i="3"/>
  <c r="H11" i="3"/>
  <c r="H9" i="3"/>
  <c r="H8" i="3"/>
  <c r="H5" i="3"/>
  <c r="H10" i="3"/>
</calcChain>
</file>

<file path=xl/sharedStrings.xml><?xml version="1.0" encoding="utf-8"?>
<sst xmlns="http://schemas.openxmlformats.org/spreadsheetml/2006/main" count="208" uniqueCount="72">
  <si>
    <t>C | CONTEXTO</t>
  </si>
  <si>
    <t>F | HALLAZGO</t>
  </si>
  <si>
    <t>I | IMPLICACIÓN</t>
  </si>
  <si>
    <t>Mayor pérdida de usuarios:
Agregar al carrito (65.9%)</t>
  </si>
  <si>
    <t>Paraguay</t>
  </si>
  <si>
    <t>Bolivia</t>
  </si>
  <si>
    <t>Uruguay</t>
  </si>
  <si>
    <t>D7</t>
  </si>
  <si>
    <t>D14</t>
  </si>
  <si>
    <t>D21</t>
  </si>
  <si>
    <t>D28</t>
  </si>
  <si>
    <t>KPIs EJECUTIVOS</t>
  </si>
  <si>
    <t xml:space="preserve">Caída principal
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</si>
  <si>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</si>
  <si>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</si>
  <si>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</si>
  <si>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</si>
  <si>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</si>
  <si>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</si>
  <si>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</si>
  <si>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Mexico</t>
  </si>
  <si>
    <t>Peru</t>
  </si>
  <si>
    <t>Argentina</t>
  </si>
  <si>
    <t>Chile</t>
  </si>
  <si>
    <t>Brazil</t>
  </si>
  <si>
    <t>Ecuador</t>
  </si>
  <si>
    <t>Colombia</t>
  </si>
  <si>
    <t>retention_d7_pct</t>
  </si>
  <si>
    <t>retention_d14_pct</t>
  </si>
  <si>
    <t>retention_d21_pct</t>
  </si>
  <si>
    <t>retention_d28_pct</t>
  </si>
  <si>
    <t>cohort</t>
  </si>
  <si>
    <t>Iniciar proceso de pago</t>
  </si>
  <si>
    <t>Seleccionar producto</t>
  </si>
  <si>
    <t>Agregar al carrito</t>
  </si>
  <si>
    <t>Información de pago</t>
  </si>
  <si>
    <t>Información de envío</t>
  </si>
  <si>
    <t>Compra</t>
  </si>
  <si>
    <t>Diferencia entre seleccionar porducto y agregar al carrito</t>
  </si>
  <si>
    <t>Selec. → Carrito</t>
  </si>
  <si>
    <t xml:space="preserve">Total de usuarios en D0 </t>
  </si>
  <si>
    <t xml:space="preserve">TOTAL </t>
  </si>
  <si>
    <t>Cohorte</t>
  </si>
  <si>
    <t xml:space="preserve">Pérdida de usuarios </t>
  </si>
  <si>
    <t>PROMEDIO</t>
  </si>
  <si>
    <t xml:space="preserve">Selec. → Compra
</t>
  </si>
  <si>
    <t xml:space="preserve">Conversión total
</t>
  </si>
  <si>
    <t>COHORTE</t>
  </si>
  <si>
    <t>País</t>
  </si>
  <si>
    <t xml:space="preserve">Porcentaje de perdidas  </t>
  </si>
  <si>
    <t>(  Selec. → Compra )</t>
  </si>
  <si>
    <t xml:space="preserve">Retención D28
</t>
  </si>
  <si>
    <t>≈3.00%</t>
  </si>
  <si>
    <t xml:space="preserve">Perú
</t>
  </si>
  <si>
    <t>(  Selec. → Carrito )</t>
  </si>
  <si>
    <t>Usuarios perdidos</t>
  </si>
  <si>
    <t>Auditar el proceso de carrito y checkout para detectar barreras técnicas y de UX.</t>
  </si>
  <si>
    <t>Validar integraciones de pago por país (moneda, regulación y métodos disponibles).</t>
  </si>
  <si>
    <t>Optimizar experiencia en la app (ofertas, precios, carga y claridad de información).</t>
  </si>
  <si>
    <t>Implementar campañas y notificaciones entre D10–D12 para reducir abandono.</t>
  </si>
  <si>
    <t xml:space="preserve">Activar estrategias de retención temprana (D7–D21) para aumentar permanencia. </t>
  </si>
  <si>
    <t>Priorizar acciones por país enfocando esfuerzos en segmentos con mayor pérdida.</t>
  </si>
  <si>
    <t>Objetivo esperado: reducir &gt;50% la caída entre D7–D14 y mejorar retención hacia D21.</t>
  </si>
  <si>
    <t>CFI | Conversión y Retención de Usuarios</t>
  </si>
  <si>
    <t>Análisis Ejecutivo de Pérdida en el Funnel de Compra</t>
  </si>
  <si>
    <t>PREGUNTAS CLAVE
•¿En qué etapa se pierden más usuarios?
• ¿Qué tan bien se retiene a los usuarios a lo largo del tiempo?</t>
  </si>
  <si>
    <t>&lt; pérdida</t>
  </si>
  <si>
    <t xml:space="preserve">Análizar las etapas que conlleva la compra de un producto en la app de Mercado Libre e identificar en cuál se tiene la mayor pérdida de usuarios.                                                                                                                                                                                                                </t>
  </si>
  <si>
    <t xml:space="preserve">País crítico
</t>
  </si>
  <si>
    <t xml:space="preserve"> Analizar la retención por cohorte para identificar puntos de abandono.                 </t>
  </si>
  <si>
    <t xml:space="preserve"> Período: 01-01-2025 al 31-08-2025                                                                                                                                                                                                  </t>
  </si>
  <si>
    <t xml:space="preserve">Período: 01-01-2025 al 01-06-2025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</si>
</sst>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rgb="FFFF0000"/>
      <name val="Calibri"/>
      <family val="2"/>
    </font>
    <font>
      <b/>
      <sz val="48"/>
      <color theme="3" tint="-0.249977111117893"/>
      <name val="Calibri"/>
      <family val="2"/>
    </font>
    <font>
      <b/>
      <sz val="12"/>
      <color theme="9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14"/>
      <name val="Calibri"/>
      <family val="2"/>
    </font>
    <font>
      <b/>
      <sz val="22"/>
      <name val="Calibri"/>
      <family val="2"/>
    </font>
    <font>
      <b/>
      <sz val="24"/>
      <color rgb="FF1F4C83"/>
      <name val="Calibri"/>
      <family val="2"/>
    </font>
    <font>
      <sz val="24"/>
      <color rgb="FF1F4C83"/>
      <name val="Calibri"/>
      <family val="2"/>
      <scheme val="minor"/>
    </font>
    <font>
      <b/>
      <sz val="48"/>
      <color rgb="FF1F4C83"/>
      <name val="Calibri"/>
      <family val="2"/>
    </font>
    <font>
      <sz val="48"/>
      <color rgb="FF1F4C83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</font>
    <font>
      <b/>
      <sz val="24"/>
      <color theme="1"/>
      <name val="Calibri"/>
      <family val="2"/>
      <scheme val="minor"/>
    </font>
    <font>
      <sz val="20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2" fontId="3" fillId="0" borderId="0" xfId="0" applyNumberFormat="1" applyFont="1"/>
    <xf numFmtId="164" fontId="3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2" fontId="0" fillId="0" borderId="0" xfId="0" applyNumberFormat="1"/>
    <xf numFmtId="2" fontId="4" fillId="0" borderId="0" xfId="0" applyNumberFormat="1" applyFont="1"/>
    <xf numFmtId="0" fontId="5" fillId="0" borderId="0" xfId="0" applyFont="1"/>
    <xf numFmtId="0" fontId="3" fillId="4" borderId="0" xfId="0" applyFont="1" applyFill="1"/>
    <xf numFmtId="0" fontId="6" fillId="5" borderId="0" xfId="0" applyFont="1" applyFill="1"/>
    <xf numFmtId="2" fontId="6" fillId="5" borderId="0" xfId="0" applyNumberFormat="1" applyFont="1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6" borderId="0" xfId="0" applyFont="1" applyFill="1"/>
    <xf numFmtId="0" fontId="3" fillId="7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2" fontId="7" fillId="0" borderId="0" xfId="0" applyNumberFormat="1" applyFont="1"/>
    <xf numFmtId="0" fontId="1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3" fillId="8" borderId="0" xfId="0" applyFont="1" applyFill="1"/>
    <xf numFmtId="0" fontId="0" fillId="8" borderId="0" xfId="0" applyFill="1"/>
    <xf numFmtId="0" fontId="1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3" fillId="10" borderId="0" xfId="0" applyFont="1" applyFill="1"/>
    <xf numFmtId="0" fontId="6" fillId="9" borderId="0" xfId="0" applyFont="1" applyFill="1"/>
    <xf numFmtId="2" fontId="6" fillId="9" borderId="0" xfId="0" applyNumberFormat="1" applyFont="1" applyFill="1"/>
    <xf numFmtId="0" fontId="15" fillId="0" borderId="0" xfId="0" applyFont="1"/>
    <xf numFmtId="164" fontId="3" fillId="10" borderId="0" xfId="0" applyNumberFormat="1" applyFont="1" applyFill="1"/>
    <xf numFmtId="0" fontId="0" fillId="10" borderId="0" xfId="0" applyFill="1"/>
    <xf numFmtId="0" fontId="22" fillId="0" borderId="0" xfId="0" applyFont="1"/>
    <xf numFmtId="0" fontId="22" fillId="0" borderId="1" xfId="0" applyFont="1" applyBorder="1" applyAlignment="1">
      <alignment vertical="center" wrapText="1"/>
    </xf>
    <xf numFmtId="0" fontId="22" fillId="0" borderId="2" xfId="0" applyFont="1" applyBorder="1"/>
    <xf numFmtId="0" fontId="22" fillId="0" borderId="0" xfId="0" applyFont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15" fillId="0" borderId="5" xfId="0" applyFont="1" applyBorder="1"/>
    <xf numFmtId="0" fontId="15" fillId="0" borderId="1" xfId="0" applyFont="1" applyBorder="1"/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0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left"/>
    </xf>
    <xf numFmtId="0" fontId="18" fillId="10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vertical="top"/>
    </xf>
    <xf numFmtId="0" fontId="15" fillId="0" borderId="0" xfId="0" applyFont="1" applyAlignment="1">
      <alignment vertical="top"/>
    </xf>
    <xf numFmtId="0" fontId="22" fillId="0" borderId="0" xfId="0" applyFont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10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0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9" fontId="8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9" fontId="8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0" xfId="0" applyFont="1"/>
    <xf numFmtId="0" fontId="27" fillId="11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left"/>
    </xf>
    <xf numFmtId="0" fontId="28" fillId="0" borderId="0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/>
    </xf>
    <xf numFmtId="2" fontId="15" fillId="11" borderId="0" xfId="0" applyNumberFormat="1" applyFont="1" applyFill="1" applyAlignment="1">
      <alignment horizontal="center" vertical="center"/>
    </xf>
    <xf numFmtId="2" fontId="15" fillId="11" borderId="0" xfId="0" applyNumberFormat="1" applyFont="1" applyFill="1" applyBorder="1" applyAlignment="1">
      <alignment horizontal="center" vertical="center"/>
    </xf>
    <xf numFmtId="0" fontId="27" fillId="10" borderId="0" xfId="0" applyFont="1" applyFill="1"/>
    <xf numFmtId="0" fontId="26" fillId="10" borderId="0" xfId="0" applyFont="1" applyFill="1"/>
    <xf numFmtId="0" fontId="26" fillId="10" borderId="0" xfId="0" applyFont="1" applyFill="1" applyAlignment="1">
      <alignment horizontal="center" vertical="center"/>
    </xf>
    <xf numFmtId="14" fontId="27" fillId="10" borderId="0" xfId="0" applyNumberFormat="1" applyFont="1" applyFill="1" applyAlignment="1">
      <alignment horizontal="left" vertical="top"/>
    </xf>
    <xf numFmtId="14" fontId="27" fillId="10" borderId="0" xfId="0" applyNumberFormat="1" applyFont="1" applyFill="1" applyAlignment="1">
      <alignment horizontal="left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9" defaultPivotStyle="PivotStyleLight16"/>
  <colors>
    <mruColors>
      <color rgb="FF1F4C83"/>
      <color rgb="FF265C9E"/>
      <color rgb="FF2965AD"/>
      <color rgb="FFF3E8FF"/>
      <color rgb="FFD2DEEE"/>
      <color rgb="FF88A9D4"/>
      <color rgb="FFFF8588"/>
      <color rgb="FFFF797C"/>
      <color rgb="FFFF7575"/>
      <color rgb="FF7C0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/>
              <a:t>Promedio</a:t>
            </a:r>
            <a:r>
              <a:rPr lang="es-MX" sz="1800" baseline="0"/>
              <a:t> de pérdida (%)</a:t>
            </a:r>
            <a:endParaRPr lang="es-MX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456222985743532"/>
          <c:y val="0.10480282403365487"/>
          <c:w val="0.76821843400429712"/>
          <c:h val="0.76972961114804461"/>
        </c:manualLayout>
      </c:layout>
      <c:lineChart>
        <c:grouping val="stacked"/>
        <c:varyColors val="0"/>
        <c:ser>
          <c:idx val="0"/>
          <c:order val="0"/>
          <c:tx>
            <c:strRef>
              <c:f>'Retención por cohorte'!$A$11</c:f>
              <c:strCache>
                <c:ptCount val="1"/>
                <c:pt idx="0">
                  <c:v>PROMEDIO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7C-49F6-A27F-AFA732F9EA5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7C-49F6-A27F-AFA732F9EA58}"/>
              </c:ext>
            </c:extLst>
          </c:dPt>
          <c:dLbls>
            <c:dLbl>
              <c:idx val="0"/>
              <c:layout>
                <c:manualLayout>
                  <c:x val="2.5031271217379681E-2"/>
                  <c:y val="-1.8885163658139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BF-4A16-A8C9-BB54C371AFF6}"/>
                </c:ext>
              </c:extLst>
            </c:dLbl>
            <c:dLbl>
              <c:idx val="1"/>
              <c:layout>
                <c:manualLayout>
                  <c:x val="-4.7726427886012507E-4"/>
                  <c:y val="-6.7315447942220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BF-4A16-A8C9-BB54C371AFF6}"/>
                </c:ext>
              </c:extLst>
            </c:dLbl>
            <c:dLbl>
              <c:idx val="2"/>
              <c:layout>
                <c:manualLayout>
                  <c:x val="-1.5335365103515877E-2"/>
                  <c:y val="-7.4344697071917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07C-49F6-A27F-AFA732F9EA58}"/>
                </c:ext>
              </c:extLst>
            </c:dLbl>
            <c:dLbl>
              <c:idx val="3"/>
              <c:layout>
                <c:manualLayout>
                  <c:x val="6.8059035821578752E-3"/>
                  <c:y val="-1.55467557122793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7C-49F6-A27F-AFA732F9E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'Retención por cohorte'!$B$2:$E$2</c:f>
              <c:strCache>
                <c:ptCount val="4"/>
                <c:pt idx="0">
                  <c:v>D7</c:v>
                </c:pt>
                <c:pt idx="1">
                  <c:v>D14</c:v>
                </c:pt>
                <c:pt idx="2">
                  <c:v>D21</c:v>
                </c:pt>
                <c:pt idx="3">
                  <c:v>D28</c:v>
                </c:pt>
              </c:strCache>
            </c:strRef>
          </c:cat>
          <c:val>
            <c:numRef>
              <c:f>'Retención por cohorte'!$B$11:$E$11</c:f>
              <c:numCache>
                <c:formatCode>0.00</c:formatCode>
                <c:ptCount val="4"/>
                <c:pt idx="0">
                  <c:v>84.624999999999986</c:v>
                </c:pt>
                <c:pt idx="1">
                  <c:v>52.324999999999996</c:v>
                </c:pt>
                <c:pt idx="2">
                  <c:v>22.887500000000003</c:v>
                </c:pt>
                <c:pt idx="3">
                  <c:v>2.3374999999999999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7C-49F6-A27F-AFA732F9EA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434441488"/>
        <c:axId val="1434442928"/>
      </c:lineChart>
      <c:catAx>
        <c:axId val="143444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Período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4442928"/>
        <c:crosses val="autoZero"/>
        <c:auto val="1"/>
        <c:lblAlgn val="ctr"/>
        <c:lblOffset val="100"/>
        <c:noMultiLvlLbl val="0"/>
      </c:catAx>
      <c:valAx>
        <c:axId val="14344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Porcentaje</a:t>
                </a:r>
                <a:r>
                  <a:rPr lang="es-MX" sz="1800" baseline="0"/>
                  <a:t> (%)</a:t>
                </a:r>
                <a:endParaRPr lang="es-MX" sz="1800"/>
              </a:p>
            </c:rich>
          </c:tx>
          <c:layout>
            <c:manualLayout>
              <c:xMode val="edge"/>
              <c:yMode val="edge"/>
              <c:x val="1.9041644232340033E-2"/>
              <c:y val="0.38470307884094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444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2400"/>
              <a:t>Porcentaje de usuarios en cada etapa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'Embudo General por país'!$B$20</c:f>
              <c:strCache>
                <c:ptCount val="1"/>
                <c:pt idx="0">
                  <c:v>Seleccionar producto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país'!$C$20:$L$20</c:f>
              <c:numCache>
                <c:formatCode>0.00</c:formatCode>
                <c:ptCount val="8"/>
                <c:pt idx="0">
                  <c:v>71.428600000000003</c:v>
                </c:pt>
                <c:pt idx="1">
                  <c:v>72.602699999999999</c:v>
                </c:pt>
                <c:pt idx="2">
                  <c:v>74.576300000000003</c:v>
                </c:pt>
                <c:pt idx="3">
                  <c:v>75</c:v>
                </c:pt>
                <c:pt idx="4">
                  <c:v>79.752099999999999</c:v>
                </c:pt>
                <c:pt idx="5">
                  <c:v>76.363600000000005</c:v>
                </c:pt>
                <c:pt idx="6">
                  <c:v>80.645200000000003</c:v>
                </c:pt>
                <c:pt idx="7">
                  <c:v>84.545500000000004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903-8965-A4429EC03FAE}"/>
            </c:ext>
          </c:extLst>
        </c:ser>
        <c:ser>
          <c:idx val="1"/>
          <c:order val="1"/>
          <c:tx>
            <c:strRef>
              <c:f>'Embudo General por país'!$B$21</c:f>
              <c:strCache>
                <c:ptCount val="1"/>
                <c:pt idx="0">
                  <c:v>Agregar al carrito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país'!$C$21:$L$21</c:f>
              <c:numCache>
                <c:formatCode>0.00</c:formatCode>
                <c:ptCount val="8"/>
                <c:pt idx="0">
                  <c:v>9.5238099999999992</c:v>
                </c:pt>
                <c:pt idx="1">
                  <c:v>8.9041099999999993</c:v>
                </c:pt>
                <c:pt idx="2">
                  <c:v>10.169499999999999</c:v>
                </c:pt>
                <c:pt idx="3">
                  <c:v>8.75</c:v>
                </c:pt>
                <c:pt idx="4">
                  <c:v>13.223100000000001</c:v>
                </c:pt>
                <c:pt idx="5">
                  <c:v>9.6969700000000003</c:v>
                </c:pt>
                <c:pt idx="6">
                  <c:v>9.6774199999999997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8-4903-8965-A4429EC03FAE}"/>
            </c:ext>
          </c:extLst>
        </c:ser>
        <c:ser>
          <c:idx val="2"/>
          <c:order val="2"/>
          <c:tx>
            <c:strRef>
              <c:f>'Embudo General por país'!$B$22</c:f>
              <c:strCache>
                <c:ptCount val="1"/>
                <c:pt idx="0">
                  <c:v>Iniciar proceso de pago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país'!$C$22:$L$22</c:f>
              <c:numCache>
                <c:formatCode>0.00</c:formatCode>
                <c:ptCount val="8"/>
                <c:pt idx="0">
                  <c:v>0</c:v>
                </c:pt>
                <c:pt idx="1">
                  <c:v>2.3972600000000002</c:v>
                </c:pt>
                <c:pt idx="2">
                  <c:v>5.0847499999999997</c:v>
                </c:pt>
                <c:pt idx="3">
                  <c:v>4.375</c:v>
                </c:pt>
                <c:pt idx="4">
                  <c:v>4.1322299999999998</c:v>
                </c:pt>
                <c:pt idx="5">
                  <c:v>4.8484800000000003</c:v>
                </c:pt>
                <c:pt idx="6">
                  <c:v>3.2258100000000001</c:v>
                </c:pt>
                <c:pt idx="7">
                  <c:v>2.7272699999999999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F8-4903-8965-A4429EC03FAE}"/>
            </c:ext>
          </c:extLst>
        </c:ser>
        <c:ser>
          <c:idx val="3"/>
          <c:order val="3"/>
          <c:tx>
            <c:strRef>
              <c:f>'Embudo General por país'!$B$23</c:f>
              <c:strCache>
                <c:ptCount val="1"/>
                <c:pt idx="0">
                  <c:v>Información de envío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país'!$C$23:$L$23</c:f>
              <c:numCache>
                <c:formatCode>0.00</c:formatCode>
                <c:ptCount val="8"/>
                <c:pt idx="0">
                  <c:v>0</c:v>
                </c:pt>
                <c:pt idx="1">
                  <c:v>1.3698600000000001</c:v>
                </c:pt>
                <c:pt idx="2">
                  <c:v>1.69492</c:v>
                </c:pt>
                <c:pt idx="3">
                  <c:v>1.875</c:v>
                </c:pt>
                <c:pt idx="4">
                  <c:v>3.30579</c:v>
                </c:pt>
                <c:pt idx="5">
                  <c:v>3.0303</c:v>
                </c:pt>
                <c:pt idx="6">
                  <c:v>3.2258100000000001</c:v>
                </c:pt>
                <c:pt idx="7">
                  <c:v>2.7272699999999999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F8-4903-8965-A4429EC03FAE}"/>
            </c:ext>
          </c:extLst>
        </c:ser>
        <c:ser>
          <c:idx val="4"/>
          <c:order val="4"/>
          <c:tx>
            <c:strRef>
              <c:f>'Embudo General por país'!$B$24</c:f>
              <c:strCache>
                <c:ptCount val="1"/>
                <c:pt idx="0">
                  <c:v>Información de pago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país'!$C$24:$L$24</c:f>
              <c:numCache>
                <c:formatCode>0.00</c:formatCode>
                <c:ptCount val="8"/>
                <c:pt idx="0">
                  <c:v>0</c:v>
                </c:pt>
                <c:pt idx="1">
                  <c:v>1.3698600000000001</c:v>
                </c:pt>
                <c:pt idx="2">
                  <c:v>1.69492</c:v>
                </c:pt>
                <c:pt idx="3">
                  <c:v>1.875</c:v>
                </c:pt>
                <c:pt idx="4">
                  <c:v>2.89256</c:v>
                </c:pt>
                <c:pt idx="5">
                  <c:v>2.4242400000000002</c:v>
                </c:pt>
                <c:pt idx="6">
                  <c:v>3.2258100000000001</c:v>
                </c:pt>
                <c:pt idx="7">
                  <c:v>1.8181799999999999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F8-4903-8965-A4429EC03FAE}"/>
            </c:ext>
          </c:extLst>
        </c:ser>
        <c:ser>
          <c:idx val="5"/>
          <c:order val="5"/>
          <c:tx>
            <c:strRef>
              <c:f>'Embudo General por país'!$B$25</c:f>
              <c:strCache>
                <c:ptCount val="1"/>
                <c:pt idx="0">
                  <c:v>Compra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'Embudo General por país'!$C$19:$L$19</c:f>
              <c:strCache>
                <c:ptCount val="8"/>
                <c:pt idx="0">
                  <c:v>Paraguay</c:v>
                </c:pt>
                <c:pt idx="1">
                  <c:v>Brazil</c:v>
                </c:pt>
                <c:pt idx="2">
                  <c:v>Ecuador</c:v>
                </c:pt>
                <c:pt idx="3">
                  <c:v>Argentina</c:v>
                </c:pt>
                <c:pt idx="4">
                  <c:v>Mexico</c:v>
                </c:pt>
                <c:pt idx="5">
                  <c:v>Colombia</c:v>
                </c:pt>
                <c:pt idx="6">
                  <c:v>Bolivia</c:v>
                </c:pt>
                <c:pt idx="7">
                  <c:v>Peru</c:v>
                </c:pt>
              </c:strCache>
            </c:strRef>
          </c:cat>
          <c:val>
            <c:numRef>
              <c:f>'Embudo General por país'!$C$25:$L$25</c:f>
              <c:numCache>
                <c:formatCode>0.00</c:formatCode>
                <c:ptCount val="8"/>
                <c:pt idx="0">
                  <c:v>0</c:v>
                </c:pt>
                <c:pt idx="1">
                  <c:v>0.68493199999999999</c:v>
                </c:pt>
                <c:pt idx="2">
                  <c:v>0</c:v>
                </c:pt>
                <c:pt idx="3">
                  <c:v>1.25</c:v>
                </c:pt>
                <c:pt idx="4">
                  <c:v>2.4793400000000001</c:v>
                </c:pt>
                <c:pt idx="5">
                  <c:v>0</c:v>
                </c:pt>
                <c:pt idx="6">
                  <c:v>3.2258100000000001</c:v>
                </c:pt>
                <c:pt idx="7">
                  <c:v>1.8181799999999999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F8-4903-8965-A4429EC0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6751280"/>
        <c:axId val="1236765680"/>
      </c:barChart>
      <c:catAx>
        <c:axId val="123675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6765680"/>
        <c:crosses val="autoZero"/>
        <c:auto val="1"/>
        <c:lblAlgn val="ctr"/>
        <c:lblOffset val="100"/>
        <c:noMultiLvlLbl val="0"/>
      </c:catAx>
      <c:valAx>
        <c:axId val="123676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67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9A47D97-0475-445D-8CC9-4D819F0D761C}" type="doc">
      <dgm:prSet loTypeId="urn:microsoft.com/office/officeart/2005/8/layout/pyramid3" loCatId="pyramid" qsTypeId="urn:microsoft.com/office/officeart/2005/8/quickstyle/simple1" qsCatId="simple" csTypeId="urn:microsoft.com/office/officeart/2005/8/colors/accent1_2" csCatId="accent1" phldr="1"/>
      <dgm:spPr/>
    </dgm:pt>
    <dgm:pt modelId="{A924FDE2-56AB-4F21-825A-01546017BD60}">
      <dgm:prSet phldrT="[Texto]" custT="1"/>
      <dgm:spPr>
        <a:solidFill>
          <a:srgbClr val="008000">
            <a:alpha val="85000"/>
          </a:srgbClr>
        </a:solidFill>
      </dgm:spPr>
      <dgm:t>
        <a:bodyPr/>
        <a:lstStyle/>
        <a:p>
          <a:r>
            <a:rPr lang="es-MX" sz="4800"/>
            <a:t>76.90 %</a:t>
          </a:r>
        </a:p>
      </dgm:t>
    </dgm:pt>
    <dgm:pt modelId="{DFDC514C-C961-4FBE-85AC-6040D4B20547}" type="parTrans" cxnId="{EF2D9C25-F087-4FA9-A67E-4CF693E49BD1}">
      <dgm:prSet/>
      <dgm:spPr/>
      <dgm:t>
        <a:bodyPr/>
        <a:lstStyle/>
        <a:p>
          <a:endParaRPr lang="es-MX"/>
        </a:p>
      </dgm:t>
    </dgm:pt>
    <dgm:pt modelId="{8DD1DC35-DE48-4E98-AD2D-15B938DFF73A}" type="sibTrans" cxnId="{EF2D9C25-F087-4FA9-A67E-4CF693E49BD1}">
      <dgm:prSet/>
      <dgm:spPr/>
      <dgm:t>
        <a:bodyPr/>
        <a:lstStyle/>
        <a:p>
          <a:endParaRPr lang="es-MX"/>
        </a:p>
      </dgm:t>
    </dgm:pt>
    <dgm:pt modelId="{3A23ED9F-736E-4B31-946A-BC4FE49F1CEC}">
      <dgm:prSet phldrT="[Texto]" custT="1"/>
      <dgm:spPr>
        <a:solidFill>
          <a:srgbClr val="FFC000">
            <a:alpha val="85000"/>
          </a:srgbClr>
        </a:solidFill>
      </dgm:spPr>
      <dgm:t>
        <a:bodyPr/>
        <a:lstStyle/>
        <a:p>
          <a:r>
            <a:rPr lang="es-MX" sz="2400"/>
            <a:t>4.00</a:t>
          </a:r>
          <a:r>
            <a:rPr lang="es-MX" sz="3200"/>
            <a:t>%</a:t>
          </a:r>
        </a:p>
      </dgm:t>
    </dgm:pt>
    <dgm:pt modelId="{2BA843B1-CFEE-4384-B21C-F840E15AA97D}" type="parTrans" cxnId="{2F4C37E7-DC97-4E88-868E-6CEB0E51A2ED}">
      <dgm:prSet/>
      <dgm:spPr/>
      <dgm:t>
        <a:bodyPr/>
        <a:lstStyle/>
        <a:p>
          <a:endParaRPr lang="es-MX"/>
        </a:p>
      </dgm:t>
    </dgm:pt>
    <dgm:pt modelId="{A0CAA58F-DB9F-4CFF-ADB3-5A1E6772F086}" type="sibTrans" cxnId="{2F4C37E7-DC97-4E88-868E-6CEB0E51A2ED}">
      <dgm:prSet/>
      <dgm:spPr/>
      <dgm:t>
        <a:bodyPr/>
        <a:lstStyle/>
        <a:p>
          <a:endParaRPr lang="es-MX"/>
        </a:p>
      </dgm:t>
    </dgm:pt>
    <dgm:pt modelId="{B12BF515-A4BA-44F2-9CFC-4DBC053D931E}">
      <dgm:prSet phldrT="[Texto]" custT="1"/>
      <dgm:spPr>
        <a:solidFill>
          <a:srgbClr val="FF0000">
            <a:alpha val="85000"/>
          </a:srgbClr>
        </a:solidFill>
      </dgm:spPr>
      <dgm:t>
        <a:bodyPr anchor="ctr"/>
        <a:lstStyle/>
        <a:p>
          <a:pPr algn="ctr"/>
          <a:r>
            <a:rPr lang="es-MX" sz="2000" b="1"/>
            <a:t>1.25%</a:t>
          </a:r>
        </a:p>
      </dgm:t>
    </dgm:pt>
    <dgm:pt modelId="{C10E431A-5A65-4F53-9AE6-610F117E4A61}" type="parTrans" cxnId="{C908D1C8-6353-464A-BE0F-1F333418B3C8}">
      <dgm:prSet/>
      <dgm:spPr/>
      <dgm:t>
        <a:bodyPr/>
        <a:lstStyle/>
        <a:p>
          <a:endParaRPr lang="es-MX"/>
        </a:p>
      </dgm:t>
    </dgm:pt>
    <dgm:pt modelId="{EB6D412F-8A4A-4BFB-9C2F-F51197AD43CB}" type="sibTrans" cxnId="{C908D1C8-6353-464A-BE0F-1F333418B3C8}">
      <dgm:prSet/>
      <dgm:spPr/>
      <dgm:t>
        <a:bodyPr/>
        <a:lstStyle/>
        <a:p>
          <a:endParaRPr lang="es-MX"/>
        </a:p>
      </dgm:t>
    </dgm:pt>
    <dgm:pt modelId="{1BEB2EE7-D971-4D61-B6C9-024A54B7C6A8}">
      <dgm:prSet custT="1"/>
      <dgm:spPr>
        <a:solidFill>
          <a:srgbClr val="13B933">
            <a:alpha val="84706"/>
          </a:srgbClr>
        </a:solidFill>
      </dgm:spPr>
      <dgm:t>
        <a:bodyPr/>
        <a:lstStyle/>
        <a:p>
          <a:r>
            <a:rPr lang="es-MX" sz="4800"/>
            <a:t>11.00</a:t>
          </a:r>
          <a:r>
            <a:rPr lang="es-MX" sz="5300"/>
            <a:t> %</a:t>
          </a:r>
        </a:p>
      </dgm:t>
    </dgm:pt>
    <dgm:pt modelId="{4F3EC91E-E8ED-40F0-B04A-5AFD73CB0DE8}" type="parTrans" cxnId="{6127117F-B9DA-4ED3-8BB9-ACA44DE82B48}">
      <dgm:prSet/>
      <dgm:spPr/>
      <dgm:t>
        <a:bodyPr/>
        <a:lstStyle/>
        <a:p>
          <a:endParaRPr lang="es-MX"/>
        </a:p>
      </dgm:t>
    </dgm:pt>
    <dgm:pt modelId="{C153682C-5877-4C9D-8AC9-2FD75E850901}" type="sibTrans" cxnId="{6127117F-B9DA-4ED3-8BB9-ACA44DE82B48}">
      <dgm:prSet/>
      <dgm:spPr/>
      <dgm:t>
        <a:bodyPr/>
        <a:lstStyle/>
        <a:p>
          <a:endParaRPr lang="es-MX"/>
        </a:p>
      </dgm:t>
    </dgm:pt>
    <dgm:pt modelId="{42243AB2-654D-49F1-B3C1-269560DC7F50}" type="pres">
      <dgm:prSet presAssocID="{19A47D97-0475-445D-8CC9-4D819F0D761C}" presName="Name0" presStyleCnt="0">
        <dgm:presLayoutVars>
          <dgm:dir/>
          <dgm:animLvl val="lvl"/>
          <dgm:resizeHandles val="exact"/>
        </dgm:presLayoutVars>
      </dgm:prSet>
      <dgm:spPr/>
    </dgm:pt>
    <dgm:pt modelId="{7F85CE39-39CB-4A0A-9A1B-CC0E46BEDDE9}" type="pres">
      <dgm:prSet presAssocID="{A924FDE2-56AB-4F21-825A-01546017BD60}" presName="Name8" presStyleCnt="0"/>
      <dgm:spPr/>
    </dgm:pt>
    <dgm:pt modelId="{0AC1BAD3-68D2-4D29-800D-4E4987FFFA72}" type="pres">
      <dgm:prSet presAssocID="{A924FDE2-56AB-4F21-825A-01546017BD60}" presName="level" presStyleLbl="node1" presStyleIdx="0" presStyleCnt="4">
        <dgm:presLayoutVars>
          <dgm:chMax val="1"/>
          <dgm:bulletEnabled val="1"/>
        </dgm:presLayoutVars>
      </dgm:prSet>
      <dgm:spPr/>
    </dgm:pt>
    <dgm:pt modelId="{8181BAB5-7136-4392-B7C2-96E1621BFE37}" type="pres">
      <dgm:prSet presAssocID="{A924FDE2-56AB-4F21-825A-01546017BD60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AB330DF5-1BB3-4CBC-A1C0-84DFD8EE135B}" type="pres">
      <dgm:prSet presAssocID="{1BEB2EE7-D971-4D61-B6C9-024A54B7C6A8}" presName="Name8" presStyleCnt="0"/>
      <dgm:spPr/>
    </dgm:pt>
    <dgm:pt modelId="{F6FE53A2-D11A-4E45-A2E9-3764871A7EC3}" type="pres">
      <dgm:prSet presAssocID="{1BEB2EE7-D971-4D61-B6C9-024A54B7C6A8}" presName="level" presStyleLbl="node1" presStyleIdx="1" presStyleCnt="4">
        <dgm:presLayoutVars>
          <dgm:chMax val="1"/>
          <dgm:bulletEnabled val="1"/>
        </dgm:presLayoutVars>
      </dgm:prSet>
      <dgm:spPr/>
    </dgm:pt>
    <dgm:pt modelId="{F99A7F4B-1E39-4923-ACBD-4E9DF12DDE63}" type="pres">
      <dgm:prSet presAssocID="{1BEB2EE7-D971-4D61-B6C9-024A54B7C6A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501419FB-DB5C-4824-8C56-D01730405674}" type="pres">
      <dgm:prSet presAssocID="{3A23ED9F-736E-4B31-946A-BC4FE49F1CEC}" presName="Name8" presStyleCnt="0"/>
      <dgm:spPr/>
    </dgm:pt>
    <dgm:pt modelId="{CCE670CD-40DA-47FC-AEAD-4A6DF5BB184C}" type="pres">
      <dgm:prSet presAssocID="{3A23ED9F-736E-4B31-946A-BC4FE49F1CEC}" presName="level" presStyleLbl="node1" presStyleIdx="2" presStyleCnt="4">
        <dgm:presLayoutVars>
          <dgm:chMax val="1"/>
          <dgm:bulletEnabled val="1"/>
        </dgm:presLayoutVars>
      </dgm:prSet>
      <dgm:spPr/>
    </dgm:pt>
    <dgm:pt modelId="{F0728967-16C5-4B2D-BF75-06F2D45880DC}" type="pres">
      <dgm:prSet presAssocID="{3A23ED9F-736E-4B31-946A-BC4FE49F1CEC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BE0A79AC-6FB7-4A57-9BF9-03DD600223A2}" type="pres">
      <dgm:prSet presAssocID="{B12BF515-A4BA-44F2-9CFC-4DBC053D931E}" presName="Name8" presStyleCnt="0"/>
      <dgm:spPr/>
    </dgm:pt>
    <dgm:pt modelId="{CA75E6CB-862D-4017-9D31-79222C4B70EB}" type="pres">
      <dgm:prSet presAssocID="{B12BF515-A4BA-44F2-9CFC-4DBC053D931E}" presName="level" presStyleLbl="node1" presStyleIdx="3" presStyleCnt="4" custLinFactNeighborX="769" custLinFactNeighborY="23316">
        <dgm:presLayoutVars>
          <dgm:chMax val="1"/>
          <dgm:bulletEnabled val="1"/>
        </dgm:presLayoutVars>
      </dgm:prSet>
      <dgm:spPr/>
    </dgm:pt>
    <dgm:pt modelId="{0FFC56F1-F1FD-44FA-A884-E211938CCEAA}" type="pres">
      <dgm:prSet presAssocID="{B12BF515-A4BA-44F2-9CFC-4DBC053D931E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EF2D9C25-F087-4FA9-A67E-4CF693E49BD1}" srcId="{19A47D97-0475-445D-8CC9-4D819F0D761C}" destId="{A924FDE2-56AB-4F21-825A-01546017BD60}" srcOrd="0" destOrd="0" parTransId="{DFDC514C-C961-4FBE-85AC-6040D4B20547}" sibTransId="{8DD1DC35-DE48-4E98-AD2D-15B938DFF73A}"/>
    <dgm:cxn modelId="{70EE2B2F-D8CF-46A6-9497-719934AF0D86}" type="presOf" srcId="{19A47D97-0475-445D-8CC9-4D819F0D761C}" destId="{42243AB2-654D-49F1-B3C1-269560DC7F50}" srcOrd="0" destOrd="0" presId="urn:microsoft.com/office/officeart/2005/8/layout/pyramid3"/>
    <dgm:cxn modelId="{95540143-BB67-44FA-B58E-39C1779D30CE}" type="presOf" srcId="{3A23ED9F-736E-4B31-946A-BC4FE49F1CEC}" destId="{CCE670CD-40DA-47FC-AEAD-4A6DF5BB184C}" srcOrd="0" destOrd="0" presId="urn:microsoft.com/office/officeart/2005/8/layout/pyramid3"/>
    <dgm:cxn modelId="{0BD64869-E6CC-47C6-B25C-ED9CD6B26844}" type="presOf" srcId="{B12BF515-A4BA-44F2-9CFC-4DBC053D931E}" destId="{0FFC56F1-F1FD-44FA-A884-E211938CCEAA}" srcOrd="1" destOrd="0" presId="urn:microsoft.com/office/officeart/2005/8/layout/pyramid3"/>
    <dgm:cxn modelId="{6E04A250-0774-43D4-B1FA-139D5A239052}" type="presOf" srcId="{1BEB2EE7-D971-4D61-B6C9-024A54B7C6A8}" destId="{F6FE53A2-D11A-4E45-A2E9-3764871A7EC3}" srcOrd="0" destOrd="0" presId="urn:microsoft.com/office/officeart/2005/8/layout/pyramid3"/>
    <dgm:cxn modelId="{6E5D7171-C981-42A3-ACA2-B4AD60500A38}" type="presOf" srcId="{3A23ED9F-736E-4B31-946A-BC4FE49F1CEC}" destId="{F0728967-16C5-4B2D-BF75-06F2D45880DC}" srcOrd="1" destOrd="0" presId="urn:microsoft.com/office/officeart/2005/8/layout/pyramid3"/>
    <dgm:cxn modelId="{F3479478-E53C-4B52-8BD5-746C0A4F6AB6}" type="presOf" srcId="{A924FDE2-56AB-4F21-825A-01546017BD60}" destId="{8181BAB5-7136-4392-B7C2-96E1621BFE37}" srcOrd="1" destOrd="0" presId="urn:microsoft.com/office/officeart/2005/8/layout/pyramid3"/>
    <dgm:cxn modelId="{11994D79-6EDD-415F-B0AE-46A32B227A2A}" type="presOf" srcId="{A924FDE2-56AB-4F21-825A-01546017BD60}" destId="{0AC1BAD3-68D2-4D29-800D-4E4987FFFA72}" srcOrd="0" destOrd="0" presId="urn:microsoft.com/office/officeart/2005/8/layout/pyramid3"/>
    <dgm:cxn modelId="{6127117F-B9DA-4ED3-8BB9-ACA44DE82B48}" srcId="{19A47D97-0475-445D-8CC9-4D819F0D761C}" destId="{1BEB2EE7-D971-4D61-B6C9-024A54B7C6A8}" srcOrd="1" destOrd="0" parTransId="{4F3EC91E-E8ED-40F0-B04A-5AFD73CB0DE8}" sibTransId="{C153682C-5877-4C9D-8AC9-2FD75E850901}"/>
    <dgm:cxn modelId="{FD83328D-6663-46CA-B19C-A4D06183448D}" type="presOf" srcId="{1BEB2EE7-D971-4D61-B6C9-024A54B7C6A8}" destId="{F99A7F4B-1E39-4923-ACBD-4E9DF12DDE63}" srcOrd="1" destOrd="0" presId="urn:microsoft.com/office/officeart/2005/8/layout/pyramid3"/>
    <dgm:cxn modelId="{BCA5529A-2C7C-4C76-81EE-84C00CCA765B}" type="presOf" srcId="{B12BF515-A4BA-44F2-9CFC-4DBC053D931E}" destId="{CA75E6CB-862D-4017-9D31-79222C4B70EB}" srcOrd="0" destOrd="0" presId="urn:microsoft.com/office/officeart/2005/8/layout/pyramid3"/>
    <dgm:cxn modelId="{C908D1C8-6353-464A-BE0F-1F333418B3C8}" srcId="{19A47D97-0475-445D-8CC9-4D819F0D761C}" destId="{B12BF515-A4BA-44F2-9CFC-4DBC053D931E}" srcOrd="3" destOrd="0" parTransId="{C10E431A-5A65-4F53-9AE6-610F117E4A61}" sibTransId="{EB6D412F-8A4A-4BFB-9C2F-F51197AD43CB}"/>
    <dgm:cxn modelId="{2F4C37E7-DC97-4E88-868E-6CEB0E51A2ED}" srcId="{19A47D97-0475-445D-8CC9-4D819F0D761C}" destId="{3A23ED9F-736E-4B31-946A-BC4FE49F1CEC}" srcOrd="2" destOrd="0" parTransId="{2BA843B1-CFEE-4384-B21C-F840E15AA97D}" sibTransId="{A0CAA58F-DB9F-4CFF-ADB3-5A1E6772F086}"/>
    <dgm:cxn modelId="{82325426-49DF-4CBB-AD33-4F5B30314D8F}" type="presParOf" srcId="{42243AB2-654D-49F1-B3C1-269560DC7F50}" destId="{7F85CE39-39CB-4A0A-9A1B-CC0E46BEDDE9}" srcOrd="0" destOrd="0" presId="urn:microsoft.com/office/officeart/2005/8/layout/pyramid3"/>
    <dgm:cxn modelId="{4A121869-7757-449B-9B4C-80C98B717BC3}" type="presParOf" srcId="{7F85CE39-39CB-4A0A-9A1B-CC0E46BEDDE9}" destId="{0AC1BAD3-68D2-4D29-800D-4E4987FFFA72}" srcOrd="0" destOrd="0" presId="urn:microsoft.com/office/officeart/2005/8/layout/pyramid3"/>
    <dgm:cxn modelId="{61ED5A21-76BA-459A-B0CD-A8EDC88AE572}" type="presParOf" srcId="{7F85CE39-39CB-4A0A-9A1B-CC0E46BEDDE9}" destId="{8181BAB5-7136-4392-B7C2-96E1621BFE37}" srcOrd="1" destOrd="0" presId="urn:microsoft.com/office/officeart/2005/8/layout/pyramid3"/>
    <dgm:cxn modelId="{24D107CE-7612-4FC6-812B-1F66C12C4A08}" type="presParOf" srcId="{42243AB2-654D-49F1-B3C1-269560DC7F50}" destId="{AB330DF5-1BB3-4CBC-A1C0-84DFD8EE135B}" srcOrd="1" destOrd="0" presId="urn:microsoft.com/office/officeart/2005/8/layout/pyramid3"/>
    <dgm:cxn modelId="{A8F8910D-312C-4424-A410-4E05AAE190B9}" type="presParOf" srcId="{AB330DF5-1BB3-4CBC-A1C0-84DFD8EE135B}" destId="{F6FE53A2-D11A-4E45-A2E9-3764871A7EC3}" srcOrd="0" destOrd="0" presId="urn:microsoft.com/office/officeart/2005/8/layout/pyramid3"/>
    <dgm:cxn modelId="{FC63BE8C-F450-4C72-960C-25862C15D184}" type="presParOf" srcId="{AB330DF5-1BB3-4CBC-A1C0-84DFD8EE135B}" destId="{F99A7F4B-1E39-4923-ACBD-4E9DF12DDE63}" srcOrd="1" destOrd="0" presId="urn:microsoft.com/office/officeart/2005/8/layout/pyramid3"/>
    <dgm:cxn modelId="{C0123B14-191F-4EBA-97A0-581B754B4869}" type="presParOf" srcId="{42243AB2-654D-49F1-B3C1-269560DC7F50}" destId="{501419FB-DB5C-4824-8C56-D01730405674}" srcOrd="2" destOrd="0" presId="urn:microsoft.com/office/officeart/2005/8/layout/pyramid3"/>
    <dgm:cxn modelId="{4E776501-71FC-4512-A726-2B0821B2DF18}" type="presParOf" srcId="{501419FB-DB5C-4824-8C56-D01730405674}" destId="{CCE670CD-40DA-47FC-AEAD-4A6DF5BB184C}" srcOrd="0" destOrd="0" presId="urn:microsoft.com/office/officeart/2005/8/layout/pyramid3"/>
    <dgm:cxn modelId="{820EB145-6BA4-4909-975C-206B2DE5B646}" type="presParOf" srcId="{501419FB-DB5C-4824-8C56-D01730405674}" destId="{F0728967-16C5-4B2D-BF75-06F2D45880DC}" srcOrd="1" destOrd="0" presId="urn:microsoft.com/office/officeart/2005/8/layout/pyramid3"/>
    <dgm:cxn modelId="{36C76C9A-629C-423C-9DDE-E9B51C88A49A}" type="presParOf" srcId="{42243AB2-654D-49F1-B3C1-269560DC7F50}" destId="{BE0A79AC-6FB7-4A57-9BF9-03DD600223A2}" srcOrd="3" destOrd="0" presId="urn:microsoft.com/office/officeart/2005/8/layout/pyramid3"/>
    <dgm:cxn modelId="{149E4666-51F3-4244-838C-A84D5825B329}" type="presParOf" srcId="{BE0A79AC-6FB7-4A57-9BF9-03DD600223A2}" destId="{CA75E6CB-862D-4017-9D31-79222C4B70EB}" srcOrd="0" destOrd="0" presId="urn:microsoft.com/office/officeart/2005/8/layout/pyramid3"/>
    <dgm:cxn modelId="{E2291D88-D30F-44FE-9C4C-A936ECEBF61C}" type="presParOf" srcId="{BE0A79AC-6FB7-4A57-9BF9-03DD600223A2}" destId="{0FFC56F1-F1FD-44FA-A884-E211938CCEAA}" srcOrd="1" destOrd="0" presId="urn:microsoft.com/office/officeart/2005/8/layout/pyramid3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AC1BAD3-68D2-4D29-800D-4E4987FFFA72}">
      <dsp:nvSpPr>
        <dsp:cNvPr id="0" name=""/>
        <dsp:cNvSpPr/>
      </dsp:nvSpPr>
      <dsp:spPr>
        <a:xfrm rot="10800000">
          <a:off x="0" y="0"/>
          <a:ext cx="8236519" cy="946149"/>
        </a:xfrm>
        <a:prstGeom prst="trapezoid">
          <a:avLst>
            <a:gd name="adj" fmla="val 108816"/>
          </a:avLst>
        </a:prstGeom>
        <a:solidFill>
          <a:srgbClr val="008000">
            <a:alpha val="85000"/>
          </a:srgb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2133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800" kern="1200"/>
            <a:t>76.90 %</a:t>
          </a:r>
        </a:p>
      </dsp:txBody>
      <dsp:txXfrm rot="-10800000">
        <a:off x="1441390" y="0"/>
        <a:ext cx="5353737" cy="946149"/>
      </dsp:txXfrm>
    </dsp:sp>
    <dsp:sp modelId="{F6FE53A2-D11A-4E45-A2E9-3764871A7EC3}">
      <dsp:nvSpPr>
        <dsp:cNvPr id="0" name=""/>
        <dsp:cNvSpPr/>
      </dsp:nvSpPr>
      <dsp:spPr>
        <a:xfrm rot="10800000">
          <a:off x="1029564" y="946149"/>
          <a:ext cx="6177389" cy="946149"/>
        </a:xfrm>
        <a:prstGeom prst="trapezoid">
          <a:avLst>
            <a:gd name="adj" fmla="val 108816"/>
          </a:avLst>
        </a:prstGeom>
        <a:solidFill>
          <a:srgbClr val="13B933">
            <a:alpha val="84706"/>
          </a:srgb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2133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4800" kern="1200"/>
            <a:t>11.00</a:t>
          </a:r>
          <a:r>
            <a:rPr lang="es-MX" sz="5300" kern="1200"/>
            <a:t> %</a:t>
          </a:r>
        </a:p>
      </dsp:txBody>
      <dsp:txXfrm rot="-10800000">
        <a:off x="2110607" y="946149"/>
        <a:ext cx="4015303" cy="946149"/>
      </dsp:txXfrm>
    </dsp:sp>
    <dsp:sp modelId="{CCE670CD-40DA-47FC-AEAD-4A6DF5BB184C}">
      <dsp:nvSpPr>
        <dsp:cNvPr id="0" name=""/>
        <dsp:cNvSpPr/>
      </dsp:nvSpPr>
      <dsp:spPr>
        <a:xfrm rot="10800000">
          <a:off x="2059129" y="1892299"/>
          <a:ext cx="4118259" cy="946149"/>
        </a:xfrm>
        <a:prstGeom prst="trapezoid">
          <a:avLst>
            <a:gd name="adj" fmla="val 108816"/>
          </a:avLst>
        </a:prstGeom>
        <a:solidFill>
          <a:srgbClr val="FFC000">
            <a:alpha val="85000"/>
          </a:srgb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400" kern="1200"/>
            <a:t>4.00</a:t>
          </a:r>
          <a:r>
            <a:rPr lang="es-MX" sz="3200" kern="1200"/>
            <a:t>%</a:t>
          </a:r>
        </a:p>
      </dsp:txBody>
      <dsp:txXfrm rot="-10800000">
        <a:off x="2779825" y="1892299"/>
        <a:ext cx="2676868" cy="946149"/>
      </dsp:txXfrm>
    </dsp:sp>
    <dsp:sp modelId="{CA75E6CB-862D-4017-9D31-79222C4B70EB}">
      <dsp:nvSpPr>
        <dsp:cNvPr id="0" name=""/>
        <dsp:cNvSpPr/>
      </dsp:nvSpPr>
      <dsp:spPr>
        <a:xfrm rot="10800000">
          <a:off x="3104529" y="2838449"/>
          <a:ext cx="2059129" cy="946149"/>
        </a:xfrm>
        <a:prstGeom prst="trapezoid">
          <a:avLst>
            <a:gd name="adj" fmla="val 108816"/>
          </a:avLst>
        </a:prstGeom>
        <a:solidFill>
          <a:srgbClr val="FF0000">
            <a:alpha val="85000"/>
          </a:srgb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000" b="1" kern="1200"/>
            <a:t>1.25%</a:t>
          </a:r>
        </a:p>
      </dsp:txBody>
      <dsp:txXfrm rot="-10800000">
        <a:off x="3104529" y="2838449"/>
        <a:ext cx="2059129" cy="94614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3">
  <dgm:title val=""/>
  <dgm:desc val=""/>
  <dgm:catLst>
    <dgm:cat type="pyramid" pri="2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T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T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rev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t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diagramData" Target="../diagrams/data1.xml"/><Relationship Id="rId21" Type="http://schemas.openxmlformats.org/officeDocument/2006/relationships/image" Target="../media/image14.svg"/><Relationship Id="rId7" Type="http://schemas.microsoft.com/office/2007/relationships/diagramDrawing" Target="../diagrams/drawing1.xml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11" Type="http://schemas.openxmlformats.org/officeDocument/2006/relationships/image" Target="../media/image4.svg"/><Relationship Id="rId5" Type="http://schemas.openxmlformats.org/officeDocument/2006/relationships/diagramQuickStyle" Target="../diagrams/quickStyle1.xml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diagramLayout" Target="../diagrams/layout1.xml"/><Relationship Id="rId9" Type="http://schemas.openxmlformats.org/officeDocument/2006/relationships/chart" Target="../charts/chart2.xml"/><Relationship Id="rId14" Type="http://schemas.openxmlformats.org/officeDocument/2006/relationships/image" Target="../media/image7.png"/><Relationship Id="rId2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72842</xdr:colOff>
      <xdr:row>18</xdr:row>
      <xdr:rowOff>283845</xdr:rowOff>
    </xdr:from>
    <xdr:to>
      <xdr:col>1</xdr:col>
      <xdr:colOff>445226</xdr:colOff>
      <xdr:row>18</xdr:row>
      <xdr:rowOff>652593</xdr:rowOff>
    </xdr:to>
    <xdr:pic>
      <xdr:nvPicPr>
        <xdr:cNvPr id="2" name="Gráfico 1" descr="Calendario contorno">
          <a:extLst>
            <a:ext uri="{FF2B5EF4-FFF2-40B4-BE49-F238E27FC236}">
              <a16:creationId xmlns:a16="http://schemas.microsoft.com/office/drawing/2014/main" id="{A22ACE68-CC72-466E-B82A-89DA6C6D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2922" y="5800725"/>
          <a:ext cx="380004" cy="368748"/>
        </a:xfrm>
        <a:prstGeom prst="rect">
          <a:avLst/>
        </a:prstGeom>
      </xdr:spPr>
    </xdr:pic>
    <xdr:clientData/>
  </xdr:twoCellAnchor>
  <xdr:oneCellAnchor>
    <xdr:from>
      <xdr:col>1</xdr:col>
      <xdr:colOff>44904</xdr:colOff>
      <xdr:row>22</xdr:row>
      <xdr:rowOff>126548</xdr:rowOff>
    </xdr:from>
    <xdr:ext cx="363309" cy="363309"/>
    <xdr:pic>
      <xdr:nvPicPr>
        <xdr:cNvPr id="3" name="Gráfico 2" descr="Calendario contorno">
          <a:extLst>
            <a:ext uri="{FF2B5EF4-FFF2-40B4-BE49-F238E27FC236}">
              <a16:creationId xmlns:a16="http://schemas.microsoft.com/office/drawing/2014/main" id="{6F93B6E0-AFED-43B3-9256-47B2C6909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504" y="7931605"/>
          <a:ext cx="363309" cy="363309"/>
        </a:xfrm>
        <a:prstGeom prst="rect">
          <a:avLst/>
        </a:prstGeom>
      </xdr:spPr>
    </xdr:pic>
    <xdr:clientData/>
  </xdr:oneCellAnchor>
  <xdr:twoCellAnchor>
    <xdr:from>
      <xdr:col>6</xdr:col>
      <xdr:colOff>490921</xdr:colOff>
      <xdr:row>14</xdr:row>
      <xdr:rowOff>762001</xdr:rowOff>
    </xdr:from>
    <xdr:to>
      <xdr:col>8</xdr:col>
      <xdr:colOff>1168400</xdr:colOff>
      <xdr:row>21</xdr:row>
      <xdr:rowOff>127000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3E185BD2-1320-47F2-B961-6140F5A72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5</xdr:col>
      <xdr:colOff>2249238</xdr:colOff>
      <xdr:row>16</xdr:row>
      <xdr:rowOff>370325</xdr:rowOff>
    </xdr:from>
    <xdr:to>
      <xdr:col>6</xdr:col>
      <xdr:colOff>2393441</xdr:colOff>
      <xdr:row>16</xdr:row>
      <xdr:rowOff>831217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5A8632D-54BF-465B-B27A-CDC4E6AAFBAE}"/>
            </a:ext>
          </a:extLst>
        </xdr:cNvPr>
        <xdr:cNvSpPr txBox="1"/>
      </xdr:nvSpPr>
      <xdr:spPr>
        <a:xfrm>
          <a:off x="7784521" y="5589306"/>
          <a:ext cx="4054845" cy="460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0"/>
            <a:t>Seleccionar producto</a:t>
          </a:r>
        </a:p>
      </xdr:txBody>
    </xdr:sp>
    <xdr:clientData/>
  </xdr:twoCellAnchor>
  <xdr:twoCellAnchor>
    <xdr:from>
      <xdr:col>5</xdr:col>
      <xdr:colOff>3197351</xdr:colOff>
      <xdr:row>17</xdr:row>
      <xdr:rowOff>258664</xdr:rowOff>
    </xdr:from>
    <xdr:to>
      <xdr:col>6</xdr:col>
      <xdr:colOff>2505357</xdr:colOff>
      <xdr:row>18</xdr:row>
      <xdr:rowOff>295762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DD45A9-CD2F-47A2-A74B-934979E8019E}"/>
            </a:ext>
          </a:extLst>
        </xdr:cNvPr>
        <xdr:cNvSpPr txBox="1"/>
      </xdr:nvSpPr>
      <xdr:spPr>
        <a:xfrm>
          <a:off x="8732634" y="6340287"/>
          <a:ext cx="3218648" cy="32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Agregar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carrito</a:t>
          </a:r>
          <a:r>
            <a:rPr lang="es-MX" sz="1800" b="0">
              <a:effectLst/>
            </a:rPr>
            <a:t> </a:t>
          </a:r>
        </a:p>
      </xdr:txBody>
    </xdr:sp>
    <xdr:clientData/>
  </xdr:twoCellAnchor>
  <xdr:twoCellAnchor>
    <xdr:from>
      <xdr:col>5</xdr:col>
      <xdr:colOff>2705512</xdr:colOff>
      <xdr:row>18</xdr:row>
      <xdr:rowOff>718869</xdr:rowOff>
    </xdr:from>
    <xdr:to>
      <xdr:col>6</xdr:col>
      <xdr:colOff>2970773</xdr:colOff>
      <xdr:row>19</xdr:row>
      <xdr:rowOff>82363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5079A57-0A2C-47A1-BFA4-3DD5A16263AB}"/>
            </a:ext>
          </a:extLst>
        </xdr:cNvPr>
        <xdr:cNvSpPr txBox="1"/>
      </xdr:nvSpPr>
      <xdr:spPr>
        <a:xfrm>
          <a:off x="8240795" y="7088039"/>
          <a:ext cx="4175903" cy="427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Inicio de proceso de pago</a:t>
          </a:r>
        </a:p>
      </xdr:txBody>
    </xdr:sp>
    <xdr:clientData/>
  </xdr:twoCellAnchor>
  <xdr:twoCellAnchor>
    <xdr:from>
      <xdr:col>6</xdr:col>
      <xdr:colOff>183983</xdr:colOff>
      <xdr:row>19</xdr:row>
      <xdr:rowOff>257681</xdr:rowOff>
    </xdr:from>
    <xdr:to>
      <xdr:col>6</xdr:col>
      <xdr:colOff>3719629</xdr:colOff>
      <xdr:row>20</xdr:row>
      <xdr:rowOff>346580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61F042A-3077-4411-97AA-10FC69F41CC3}"/>
            </a:ext>
          </a:extLst>
        </xdr:cNvPr>
        <xdr:cNvSpPr txBox="1"/>
      </xdr:nvSpPr>
      <xdr:spPr>
        <a:xfrm>
          <a:off x="9629908" y="7690775"/>
          <a:ext cx="3535646" cy="347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0">
              <a:effectLst/>
            </a:rPr>
            <a:t> 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Compra finalizada</a:t>
          </a:r>
          <a:endParaRPr lang="es-MX" sz="1800" b="0"/>
        </a:p>
      </xdr:txBody>
    </xdr:sp>
    <xdr:clientData/>
  </xdr:twoCellAnchor>
  <xdr:twoCellAnchor>
    <xdr:from>
      <xdr:col>5</xdr:col>
      <xdr:colOff>67542</xdr:colOff>
      <xdr:row>21</xdr:row>
      <xdr:rowOff>402566</xdr:rowOff>
    </xdr:from>
    <xdr:to>
      <xdr:col>8</xdr:col>
      <xdr:colOff>3853132</xdr:colOff>
      <xdr:row>28</xdr:row>
      <xdr:rowOff>872161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1DBCFCE-5728-4F03-B221-02D4B7A74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218440</xdr:colOff>
      <xdr:row>44</xdr:row>
      <xdr:rowOff>40640</xdr:rowOff>
    </xdr:from>
    <xdr:to>
      <xdr:col>13</xdr:col>
      <xdr:colOff>30480</xdr:colOff>
      <xdr:row>75</xdr:row>
      <xdr:rowOff>106680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50BBAD5-AF0D-47CD-A1C1-A362BB6FD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772763</xdr:colOff>
      <xdr:row>15</xdr:row>
      <xdr:rowOff>117418</xdr:rowOff>
    </xdr:from>
    <xdr:to>
      <xdr:col>9</xdr:col>
      <xdr:colOff>258314</xdr:colOff>
      <xdr:row>17</xdr:row>
      <xdr:rowOff>48404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4A9468B-A83C-462F-A252-FE0B61585AE4}"/>
            </a:ext>
          </a:extLst>
        </xdr:cNvPr>
        <xdr:cNvSpPr txBox="1"/>
      </xdr:nvSpPr>
      <xdr:spPr>
        <a:xfrm>
          <a:off x="17485963" y="5883218"/>
          <a:ext cx="3270151" cy="1073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200">
              <a:effectLst/>
            </a:rPr>
            <a:t> </a:t>
          </a:r>
          <a:r>
            <a:rPr lang="es-MX" sz="4000" b="1">
              <a:solidFill>
                <a:srgbClr val="FF0000"/>
              </a:solidFill>
              <a:effectLst/>
            </a:rPr>
            <a:t>65.9%</a:t>
          </a:r>
          <a:endParaRPr lang="es-MX" sz="32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3540904</xdr:colOff>
      <xdr:row>27</xdr:row>
      <xdr:rowOff>315822</xdr:rowOff>
    </xdr:from>
    <xdr:to>
      <xdr:col>8</xdr:col>
      <xdr:colOff>1437736</xdr:colOff>
      <xdr:row>28</xdr:row>
      <xdr:rowOff>785721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71DA582B-F37B-32F7-4B01-3D0DD8887D8A}"/>
            </a:ext>
          </a:extLst>
        </xdr:cNvPr>
        <xdr:cNvSpPr/>
      </xdr:nvSpPr>
      <xdr:spPr>
        <a:xfrm>
          <a:off x="16897470" y="12277784"/>
          <a:ext cx="1807474" cy="1088126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581727</xdr:colOff>
      <xdr:row>30</xdr:row>
      <xdr:rowOff>392516</xdr:rowOff>
    </xdr:from>
    <xdr:to>
      <xdr:col>4</xdr:col>
      <xdr:colOff>24581</xdr:colOff>
      <xdr:row>42</xdr:row>
      <xdr:rowOff>110613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CCAF6C0-56D8-0EE7-1DC4-94E59FD70C57}"/>
            </a:ext>
          </a:extLst>
        </xdr:cNvPr>
        <xdr:cNvSpPr txBox="1"/>
      </xdr:nvSpPr>
      <xdr:spPr>
        <a:xfrm>
          <a:off x="581727" y="15226935"/>
          <a:ext cx="3769048" cy="3761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3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MX" sz="3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40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meses </a:t>
          </a:r>
          <a:r>
            <a:rPr lang="es-MX" sz="3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tiene una </a:t>
          </a:r>
          <a:r>
            <a:rPr lang="es-MX" sz="3600" b="1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pérdida</a:t>
          </a:r>
          <a:r>
            <a:rPr lang="es-MX" sz="3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</a:t>
          </a:r>
          <a:r>
            <a:rPr lang="es-MX" sz="4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155,688 usuarios</a:t>
          </a:r>
          <a:endParaRPr lang="es-MX" sz="3600" b="1"/>
        </a:p>
      </xdr:txBody>
    </xdr:sp>
    <xdr:clientData/>
  </xdr:twoCellAnchor>
  <xdr:twoCellAnchor editAs="oneCell">
    <xdr:from>
      <xdr:col>9</xdr:col>
      <xdr:colOff>73309</xdr:colOff>
      <xdr:row>22</xdr:row>
      <xdr:rowOff>168346</xdr:rowOff>
    </xdr:from>
    <xdr:to>
      <xdr:col>9</xdr:col>
      <xdr:colOff>476639</xdr:colOff>
      <xdr:row>22</xdr:row>
      <xdr:rowOff>568198</xdr:rowOff>
    </xdr:to>
    <xdr:pic>
      <xdr:nvPicPr>
        <xdr:cNvPr id="38" name="Gráfico 37" descr="Campana contorno">
          <a:extLst>
            <a:ext uri="{FF2B5EF4-FFF2-40B4-BE49-F238E27FC236}">
              <a16:creationId xmlns:a16="http://schemas.microsoft.com/office/drawing/2014/main" id="{8F58C661-E56F-F449-D1EF-8B93F818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441795" y="7960126"/>
          <a:ext cx="403330" cy="399852"/>
        </a:xfrm>
        <a:prstGeom prst="rect">
          <a:avLst/>
        </a:prstGeom>
      </xdr:spPr>
    </xdr:pic>
    <xdr:clientData/>
  </xdr:twoCellAnchor>
  <xdr:twoCellAnchor editAs="oneCell">
    <xdr:from>
      <xdr:col>9</xdr:col>
      <xdr:colOff>100440</xdr:colOff>
      <xdr:row>16</xdr:row>
      <xdr:rowOff>235412</xdr:rowOff>
    </xdr:from>
    <xdr:to>
      <xdr:col>9</xdr:col>
      <xdr:colOff>480881</xdr:colOff>
      <xdr:row>16</xdr:row>
      <xdr:rowOff>616646</xdr:rowOff>
    </xdr:to>
    <xdr:pic>
      <xdr:nvPicPr>
        <xdr:cNvPr id="40" name="Gráfico 39" descr="Inventario de búsqueda contorno">
          <a:extLst>
            <a:ext uri="{FF2B5EF4-FFF2-40B4-BE49-F238E27FC236}">
              <a16:creationId xmlns:a16="http://schemas.microsoft.com/office/drawing/2014/main" id="{017D931A-3BD9-DD2A-B45D-3E6934F1D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468926" y="4613609"/>
          <a:ext cx="380441" cy="381234"/>
        </a:xfrm>
        <a:prstGeom prst="rect">
          <a:avLst/>
        </a:prstGeom>
      </xdr:spPr>
    </xdr:pic>
    <xdr:clientData/>
  </xdr:twoCellAnchor>
  <xdr:twoCellAnchor editAs="oneCell">
    <xdr:from>
      <xdr:col>9</xdr:col>
      <xdr:colOff>18073</xdr:colOff>
      <xdr:row>18</xdr:row>
      <xdr:rowOff>166451</xdr:rowOff>
    </xdr:from>
    <xdr:to>
      <xdr:col>9</xdr:col>
      <xdr:colOff>471660</xdr:colOff>
      <xdr:row>18</xdr:row>
      <xdr:rowOff>621053</xdr:rowOff>
    </xdr:to>
    <xdr:pic>
      <xdr:nvPicPr>
        <xdr:cNvPr id="42" name="Gráfico 41" descr="Smartphone contorno">
          <a:extLst>
            <a:ext uri="{FF2B5EF4-FFF2-40B4-BE49-F238E27FC236}">
              <a16:creationId xmlns:a16="http://schemas.microsoft.com/office/drawing/2014/main" id="{95F3A3D7-8FDD-6752-38D4-E48CD643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386559" y="5694254"/>
          <a:ext cx="453587" cy="454602"/>
        </a:xfrm>
        <a:prstGeom prst="rect">
          <a:avLst/>
        </a:prstGeom>
      </xdr:spPr>
    </xdr:pic>
    <xdr:clientData/>
  </xdr:twoCellAnchor>
  <xdr:twoCellAnchor editAs="oneCell">
    <xdr:from>
      <xdr:col>9</xdr:col>
      <xdr:colOff>125355</xdr:colOff>
      <xdr:row>14</xdr:row>
      <xdr:rowOff>126082</xdr:rowOff>
    </xdr:from>
    <xdr:to>
      <xdr:col>9</xdr:col>
      <xdr:colOff>480103</xdr:colOff>
      <xdr:row>14</xdr:row>
      <xdr:rowOff>480830</xdr:rowOff>
    </xdr:to>
    <xdr:pic>
      <xdr:nvPicPr>
        <xdr:cNvPr id="44" name="Gráfico 43" descr="Carro de la compra contorno">
          <a:extLst>
            <a:ext uri="{FF2B5EF4-FFF2-40B4-BE49-F238E27FC236}">
              <a16:creationId xmlns:a16="http://schemas.microsoft.com/office/drawing/2014/main" id="{A4053F89-EAF8-FBF7-F88C-A487DB571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0493841" y="3596926"/>
          <a:ext cx="354748" cy="354748"/>
        </a:xfrm>
        <a:prstGeom prst="rect">
          <a:avLst/>
        </a:prstGeom>
      </xdr:spPr>
    </xdr:pic>
    <xdr:clientData/>
  </xdr:twoCellAnchor>
  <xdr:twoCellAnchor editAs="oneCell">
    <xdr:from>
      <xdr:col>9</xdr:col>
      <xdr:colOff>63823</xdr:colOff>
      <xdr:row>20</xdr:row>
      <xdr:rowOff>127190</xdr:rowOff>
    </xdr:from>
    <xdr:to>
      <xdr:col>9</xdr:col>
      <xdr:colOff>616535</xdr:colOff>
      <xdr:row>20</xdr:row>
      <xdr:rowOff>647479</xdr:rowOff>
    </xdr:to>
    <xdr:pic>
      <xdr:nvPicPr>
        <xdr:cNvPr id="46" name="Gráfico 45" descr="Marketing contorno">
          <a:extLst>
            <a:ext uri="{FF2B5EF4-FFF2-40B4-BE49-F238E27FC236}">
              <a16:creationId xmlns:a16="http://schemas.microsoft.com/office/drawing/2014/main" id="{9A344959-88A1-7C67-AA02-E71C1C427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0432309" y="6729722"/>
          <a:ext cx="522979" cy="520289"/>
        </a:xfrm>
        <a:prstGeom prst="rect">
          <a:avLst/>
        </a:prstGeom>
      </xdr:spPr>
    </xdr:pic>
    <xdr:clientData/>
  </xdr:twoCellAnchor>
  <xdr:twoCellAnchor editAs="oneCell">
    <xdr:from>
      <xdr:col>9</xdr:col>
      <xdr:colOff>55507</xdr:colOff>
      <xdr:row>24</xdr:row>
      <xdr:rowOff>188966</xdr:rowOff>
    </xdr:from>
    <xdr:to>
      <xdr:col>9</xdr:col>
      <xdr:colOff>491129</xdr:colOff>
      <xdr:row>24</xdr:row>
      <xdr:rowOff>625456</xdr:rowOff>
    </xdr:to>
    <xdr:pic>
      <xdr:nvPicPr>
        <xdr:cNvPr id="48" name="Gráfico 47" descr="Audiencia objetivo contorno">
          <a:extLst>
            <a:ext uri="{FF2B5EF4-FFF2-40B4-BE49-F238E27FC236}">
              <a16:creationId xmlns:a16="http://schemas.microsoft.com/office/drawing/2014/main" id="{770438CF-542E-E383-C0D4-B1FB2102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0423993" y="8914527"/>
          <a:ext cx="435622" cy="436490"/>
        </a:xfrm>
        <a:prstGeom prst="rect">
          <a:avLst/>
        </a:prstGeom>
      </xdr:spPr>
    </xdr:pic>
    <xdr:clientData/>
  </xdr:twoCellAnchor>
  <xdr:twoCellAnchor editAs="oneCell">
    <xdr:from>
      <xdr:col>9</xdr:col>
      <xdr:colOff>47424</xdr:colOff>
      <xdr:row>26</xdr:row>
      <xdr:rowOff>242004</xdr:rowOff>
    </xdr:from>
    <xdr:to>
      <xdr:col>9</xdr:col>
      <xdr:colOff>475700</xdr:colOff>
      <xdr:row>26</xdr:row>
      <xdr:rowOff>671115</xdr:rowOff>
    </xdr:to>
    <xdr:pic>
      <xdr:nvPicPr>
        <xdr:cNvPr id="50" name="Gráfico 49" descr="Gráfico de barras con tendencia alcista contorno">
          <a:extLst>
            <a:ext uri="{FF2B5EF4-FFF2-40B4-BE49-F238E27FC236}">
              <a16:creationId xmlns:a16="http://schemas.microsoft.com/office/drawing/2014/main" id="{5597A2AB-5CBC-0E33-6BA9-F68C9FCB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415910" y="10231692"/>
          <a:ext cx="428276" cy="429111"/>
        </a:xfrm>
        <a:prstGeom prst="rect">
          <a:avLst/>
        </a:prstGeom>
      </xdr:spPr>
    </xdr:pic>
    <xdr:clientData/>
  </xdr:twoCellAnchor>
  <xdr:twoCellAnchor>
    <xdr:from>
      <xdr:col>8</xdr:col>
      <xdr:colOff>1028645</xdr:colOff>
      <xdr:row>14</xdr:row>
      <xdr:rowOff>823274</xdr:rowOff>
    </xdr:from>
    <xdr:to>
      <xdr:col>8</xdr:col>
      <xdr:colOff>1758350</xdr:colOff>
      <xdr:row>17</xdr:row>
      <xdr:rowOff>128231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0187A72B-6EC6-C9F0-4600-0CA4DF92C4C4}"/>
            </a:ext>
          </a:extLst>
        </xdr:cNvPr>
        <xdr:cNvSpPr/>
      </xdr:nvSpPr>
      <xdr:spPr>
        <a:xfrm rot="10800000" flipH="1">
          <a:off x="17741845" y="5623874"/>
          <a:ext cx="729705" cy="1413157"/>
        </a:xfrm>
        <a:prstGeom prst="rightBrace">
          <a:avLst>
            <a:gd name="adj1" fmla="val 8333"/>
            <a:gd name="adj2" fmla="val 48163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3355029</xdr:colOff>
      <xdr:row>22</xdr:row>
      <xdr:rowOff>532752</xdr:rowOff>
    </xdr:from>
    <xdr:to>
      <xdr:col>9</xdr:col>
      <xdr:colOff>19405</xdr:colOff>
      <xdr:row>26</xdr:row>
      <xdr:rowOff>762000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7C80AB4-D288-4645-A4CF-61CDF816B55C}"/>
            </a:ext>
          </a:extLst>
        </xdr:cNvPr>
        <xdr:cNvSpPr txBox="1"/>
      </xdr:nvSpPr>
      <xdr:spPr>
        <a:xfrm>
          <a:off x="16309029" y="10155723"/>
          <a:ext cx="4240833" cy="2449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D7 </a:t>
          </a:r>
          <a:r>
            <a:rPr lang="es-MX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Retención sólida →  &gt; 80 % en todos los países</a:t>
          </a: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D14</a:t>
          </a:r>
          <a:r>
            <a:rPr lang="es-MX" sz="1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 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Caída significativa →  52.33 % </a:t>
          </a: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D21 </a:t>
          </a:r>
          <a:r>
            <a:rPr lang="es-MX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Declive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crítico → 22.89 %</a:t>
          </a: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D28 </a:t>
          </a:r>
          <a:r>
            <a:rPr lang="es-MX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s-MX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Retención mínima → 2.34 %</a:t>
          </a:r>
          <a:r>
            <a:rPr lang="es-MX" sz="1800">
              <a:effectLst/>
            </a:rPr>
            <a:t> </a:t>
          </a:r>
          <a:endParaRPr lang="es-MX" sz="1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0133A-625B-46F2-8308-3095BF5CDBA2}" name="Tabla4" displayName="Tabla4" ref="E32:I41" totalsRowShown="0" headerRowDxfId="1" dataDxfId="0">
  <autoFilter ref="E32:I41" xr:uid="{FBF0133A-625B-46F2-8308-3095BF5CDBA2}"/>
  <tableColumns count="5">
    <tableColumn id="1" xr3:uid="{617C71DD-9E8D-4FF6-B8D7-0F61ADF7EAF1}" name="cohort" dataDxfId="6"/>
    <tableColumn id="2" xr3:uid="{B7C830DB-D4E8-49FC-9671-B56E4DAE91AE}" name="D7" dataDxfId="5"/>
    <tableColumn id="3" xr3:uid="{710BD017-E7AF-4774-8D72-4C6C113466C6}" name="D14" dataDxfId="4"/>
    <tableColumn id="4" xr3:uid="{3C109DDA-D20B-4D80-A4E1-145D776EB4DA}" name="D21" dataDxfId="3"/>
    <tableColumn id="5" xr3:uid="{514F041F-E42A-4A3F-A6CA-8BB352122F92}" name="D28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8EDD-7470-4870-97B0-6614CA3BCAF4}">
  <sheetPr>
    <pageSetUpPr fitToPage="1"/>
  </sheetPr>
  <dimension ref="B1:N53"/>
  <sheetViews>
    <sheetView showGridLines="0" tabSelected="1" zoomScale="50" zoomScaleNormal="50" zoomScalePageLayoutView="46" workbookViewId="0">
      <selection activeCell="M47" sqref="M47"/>
    </sheetView>
  </sheetViews>
  <sheetFormatPr baseColWidth="10" defaultColWidth="8.88671875" defaultRowHeight="14.4" x14ac:dyDescent="0.3"/>
  <cols>
    <col min="2" max="3" width="14.77734375" customWidth="1"/>
    <col min="4" max="4" width="24.77734375" customWidth="1"/>
    <col min="5" max="5" width="20.21875" customWidth="1"/>
    <col min="6" max="9" width="55.109375" customWidth="1"/>
    <col min="10" max="10" width="10" customWidth="1"/>
    <col min="11" max="13" width="26" customWidth="1"/>
  </cols>
  <sheetData>
    <row r="1" spans="2:13" x14ac:dyDescent="0.3">
      <c r="B1" s="50" t="s">
        <v>63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2:13" ht="47.4" customHeight="1" x14ac:dyDescent="0.3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2:13" ht="67.8" customHeight="1" x14ac:dyDescent="1.1000000000000001">
      <c r="B3" s="56" t="s">
        <v>64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2:13" x14ac:dyDescent="0.3">
      <c r="K4" s="28"/>
      <c r="L4" s="29"/>
      <c r="M4" s="29"/>
    </row>
    <row r="6" spans="2:13" ht="31.2" x14ac:dyDescent="0.6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8" spans="2:13" ht="38.4" customHeight="1" x14ac:dyDescent="0.3">
      <c r="C8" s="53" t="s">
        <v>46</v>
      </c>
      <c r="D8" s="53"/>
      <c r="F8" s="53" t="s">
        <v>12</v>
      </c>
      <c r="G8" s="53"/>
      <c r="I8" s="53" t="s">
        <v>51</v>
      </c>
      <c r="J8" s="53"/>
      <c r="L8" s="53" t="s">
        <v>68</v>
      </c>
      <c r="M8" s="53"/>
    </row>
    <row r="9" spans="2:13" ht="14.4" customHeight="1" x14ac:dyDescent="0.3">
      <c r="C9" s="54" t="s">
        <v>45</v>
      </c>
      <c r="D9" s="55"/>
      <c r="F9" s="54" t="s">
        <v>39</v>
      </c>
      <c r="G9" s="54"/>
      <c r="I9" s="53"/>
      <c r="J9" s="53"/>
      <c r="L9" s="55" t="s">
        <v>66</v>
      </c>
      <c r="M9" s="55"/>
    </row>
    <row r="10" spans="2:13" ht="31.2" customHeight="1" x14ac:dyDescent="0.3">
      <c r="C10" s="69">
        <v>0.11</v>
      </c>
      <c r="D10" s="70"/>
      <c r="F10" s="71">
        <v>0.65900000000000003</v>
      </c>
      <c r="G10" s="72"/>
      <c r="I10" s="73" t="s">
        <v>52</v>
      </c>
      <c r="J10" s="74"/>
      <c r="L10" s="75" t="s">
        <v>53</v>
      </c>
      <c r="M10" s="76"/>
    </row>
    <row r="11" spans="2:13" ht="30" customHeight="1" x14ac:dyDescent="0.3">
      <c r="C11" s="70"/>
      <c r="D11" s="70"/>
      <c r="F11" s="72"/>
      <c r="G11" s="72"/>
      <c r="I11" s="74"/>
      <c r="J11" s="74"/>
      <c r="L11" s="76"/>
      <c r="M11" s="76"/>
    </row>
    <row r="13" spans="2:13" ht="31.2" x14ac:dyDescent="0.6">
      <c r="B13" s="77" t="s">
        <v>0</v>
      </c>
      <c r="C13" s="78"/>
      <c r="D13" s="78"/>
      <c r="E13" s="78"/>
      <c r="F13" s="77" t="s">
        <v>1</v>
      </c>
      <c r="G13" s="78"/>
      <c r="H13" s="78"/>
      <c r="I13" s="78"/>
      <c r="J13" s="77" t="s">
        <v>2</v>
      </c>
      <c r="K13" s="78"/>
      <c r="L13" s="78"/>
      <c r="M13" s="78"/>
    </row>
    <row r="15" spans="2:13" ht="75" customHeight="1" x14ac:dyDescent="0.5">
      <c r="B15" s="59" t="s">
        <v>67</v>
      </c>
      <c r="C15" s="60"/>
      <c r="D15" s="60"/>
      <c r="E15" s="61"/>
      <c r="F15" s="64" t="s">
        <v>3</v>
      </c>
      <c r="G15" s="65"/>
      <c r="H15" s="65"/>
      <c r="I15" s="65"/>
      <c r="J15" s="44"/>
      <c r="K15" s="81" t="s">
        <v>56</v>
      </c>
      <c r="L15" s="81"/>
      <c r="M15" s="81"/>
    </row>
    <row r="16" spans="2:13" ht="21" customHeight="1" x14ac:dyDescent="0.5">
      <c r="B16" s="62"/>
      <c r="C16" s="62"/>
      <c r="D16" s="62"/>
      <c r="E16" s="63"/>
      <c r="F16" s="66"/>
      <c r="G16" s="66"/>
      <c r="H16" s="66"/>
      <c r="I16" s="66"/>
      <c r="J16" s="45"/>
      <c r="K16" s="36"/>
      <c r="L16" s="36"/>
      <c r="M16" s="36"/>
    </row>
    <row r="17" spans="2:14" ht="68.400000000000006" customHeight="1" x14ac:dyDescent="0.5">
      <c r="B17" s="62"/>
      <c r="C17" s="62"/>
      <c r="D17" s="62"/>
      <c r="E17" s="63"/>
      <c r="J17" s="45"/>
      <c r="K17" s="82" t="s">
        <v>57</v>
      </c>
      <c r="L17" s="82"/>
      <c r="M17" s="82"/>
    </row>
    <row r="18" spans="2:14" ht="22.2" customHeight="1" x14ac:dyDescent="0.5">
      <c r="B18" s="62"/>
      <c r="C18" s="62"/>
      <c r="D18" s="62"/>
      <c r="E18" s="63"/>
      <c r="F18" s="30"/>
      <c r="J18" s="45"/>
      <c r="K18" s="36"/>
      <c r="L18" s="36"/>
      <c r="M18" s="36"/>
    </row>
    <row r="19" spans="2:14" ht="83.4" customHeight="1" x14ac:dyDescent="0.5">
      <c r="B19" s="39"/>
      <c r="C19" s="79" t="s">
        <v>70</v>
      </c>
      <c r="D19" s="79"/>
      <c r="E19" s="80"/>
      <c r="J19" s="45"/>
      <c r="K19" s="82" t="s">
        <v>58</v>
      </c>
      <c r="L19" s="82"/>
      <c r="M19" s="82"/>
    </row>
    <row r="20" spans="2:14" ht="20.399999999999999" customHeight="1" x14ac:dyDescent="0.45">
      <c r="B20" s="39"/>
      <c r="C20" s="39"/>
      <c r="D20" s="39"/>
      <c r="E20" s="41"/>
      <c r="F20" s="27"/>
      <c r="J20" s="46"/>
      <c r="K20" s="47"/>
      <c r="L20" s="47"/>
      <c r="M20" s="47"/>
    </row>
    <row r="21" spans="2:14" ht="55.2" customHeight="1" x14ac:dyDescent="0.5">
      <c r="B21" s="67" t="s">
        <v>69</v>
      </c>
      <c r="C21" s="67"/>
      <c r="D21" s="67"/>
      <c r="E21" s="68"/>
      <c r="J21" s="45"/>
      <c r="K21" s="82" t="s">
        <v>59</v>
      </c>
      <c r="L21" s="82"/>
      <c r="M21" s="82"/>
    </row>
    <row r="22" spans="2:14" ht="38.4" customHeight="1" x14ac:dyDescent="0.5">
      <c r="B22" s="67"/>
      <c r="C22" s="67"/>
      <c r="D22" s="67"/>
      <c r="E22" s="68"/>
      <c r="F22" s="58" t="s">
        <v>43</v>
      </c>
      <c r="G22" s="58"/>
      <c r="H22" s="58"/>
      <c r="I22" s="58"/>
      <c r="J22" s="48"/>
      <c r="K22" s="36"/>
      <c r="L22" s="36"/>
      <c r="M22" s="36"/>
    </row>
    <row r="23" spans="2:14" ht="54.6" customHeight="1" x14ac:dyDescent="0.5">
      <c r="B23" s="42"/>
      <c r="C23" s="79" t="s">
        <v>71</v>
      </c>
      <c r="D23" s="79"/>
      <c r="E23" s="80"/>
      <c r="F23" s="26"/>
      <c r="G23" s="26"/>
      <c r="H23" s="26"/>
      <c r="I23" s="26"/>
      <c r="J23" s="45"/>
      <c r="K23" s="83" t="s">
        <v>60</v>
      </c>
      <c r="L23" s="83"/>
      <c r="M23" s="83"/>
    </row>
    <row r="24" spans="2:14" ht="19.2" customHeight="1" x14ac:dyDescent="0.45">
      <c r="B24" s="39"/>
      <c r="C24" s="39"/>
      <c r="D24" s="39"/>
      <c r="E24" s="41"/>
      <c r="J24" s="84"/>
      <c r="K24" s="85"/>
      <c r="L24" s="85"/>
      <c r="M24" s="85"/>
    </row>
    <row r="25" spans="2:14" ht="66" customHeight="1" x14ac:dyDescent="0.5">
      <c r="B25" s="57" t="s">
        <v>65</v>
      </c>
      <c r="C25" s="57"/>
      <c r="D25" s="57"/>
      <c r="E25" s="43"/>
      <c r="J25" s="45"/>
      <c r="K25" s="82" t="s">
        <v>61</v>
      </c>
      <c r="L25" s="82"/>
      <c r="M25" s="82"/>
    </row>
    <row r="26" spans="2:14" ht="33.6" customHeight="1" x14ac:dyDescent="0.5">
      <c r="B26" s="57"/>
      <c r="C26" s="57"/>
      <c r="D26" s="57"/>
      <c r="E26" s="43"/>
      <c r="J26" s="45"/>
      <c r="K26" s="36"/>
      <c r="L26" s="36"/>
      <c r="M26" s="36"/>
    </row>
    <row r="27" spans="2:14" ht="69" customHeight="1" x14ac:dyDescent="0.3">
      <c r="B27" s="57"/>
      <c r="C27" s="57"/>
      <c r="D27" s="57"/>
      <c r="E27" s="43"/>
      <c r="J27" s="49"/>
      <c r="K27" s="83" t="s">
        <v>62</v>
      </c>
      <c r="L27" s="83"/>
      <c r="M27" s="83"/>
      <c r="N27" s="25"/>
    </row>
    <row r="28" spans="2:14" ht="49.2" customHeight="1" x14ac:dyDescent="0.5">
      <c r="B28" s="57"/>
      <c r="C28" s="57"/>
      <c r="D28" s="57"/>
      <c r="E28" s="43"/>
      <c r="J28" s="45"/>
      <c r="K28" s="36"/>
      <c r="L28" s="36"/>
      <c r="M28" s="36"/>
    </row>
    <row r="29" spans="2:14" ht="71.400000000000006" customHeight="1" x14ac:dyDescent="0.3">
      <c r="B29" s="31"/>
      <c r="C29" s="31"/>
      <c r="D29" s="31"/>
      <c r="E29" s="32"/>
      <c r="J29" s="40"/>
      <c r="K29" s="57"/>
      <c r="L29" s="57"/>
      <c r="M29" s="57"/>
    </row>
    <row r="30" spans="2:14" ht="42" customHeight="1" x14ac:dyDescent="0.3"/>
    <row r="31" spans="2:14" ht="36" customHeight="1" x14ac:dyDescent="0.3">
      <c r="E31" s="89" t="s">
        <v>55</v>
      </c>
      <c r="F31" s="89"/>
      <c r="G31" s="89"/>
      <c r="H31" s="89"/>
      <c r="I31" s="89"/>
      <c r="K31" s="89" t="s">
        <v>48</v>
      </c>
      <c r="L31" s="91" t="s">
        <v>49</v>
      </c>
      <c r="M31" s="91"/>
    </row>
    <row r="32" spans="2:14" ht="21" x14ac:dyDescent="0.4">
      <c r="E32" s="95" t="s">
        <v>31</v>
      </c>
      <c r="F32" s="97" t="s">
        <v>7</v>
      </c>
      <c r="G32" s="97" t="s">
        <v>8</v>
      </c>
      <c r="H32" s="97" t="s">
        <v>9</v>
      </c>
      <c r="I32" s="97" t="s">
        <v>10</v>
      </c>
      <c r="K32" s="89"/>
      <c r="L32" s="88" t="s">
        <v>54</v>
      </c>
      <c r="M32" s="88"/>
    </row>
    <row r="33" spans="5:13" ht="25.8" x14ac:dyDescent="0.45">
      <c r="E33" s="98">
        <v>45658</v>
      </c>
      <c r="F33" s="87">
        <v>10344</v>
      </c>
      <c r="G33" s="87">
        <v>6744</v>
      </c>
      <c r="H33" s="87">
        <v>2892</v>
      </c>
      <c r="I33" s="87">
        <v>360</v>
      </c>
      <c r="K33" s="90" t="s">
        <v>21</v>
      </c>
      <c r="L33" s="92">
        <v>74.545500000000004</v>
      </c>
      <c r="M33" s="92"/>
    </row>
    <row r="34" spans="5:13" ht="25.8" x14ac:dyDescent="0.45">
      <c r="E34" s="98">
        <v>45689</v>
      </c>
      <c r="F34" s="87">
        <v>10416</v>
      </c>
      <c r="G34" s="87">
        <v>6720</v>
      </c>
      <c r="H34" s="87">
        <v>2952</v>
      </c>
      <c r="I34" s="87">
        <v>324.00000000000006</v>
      </c>
      <c r="K34" s="90" t="s">
        <v>5</v>
      </c>
      <c r="L34" s="93">
        <v>70.967780000000005</v>
      </c>
      <c r="M34" s="93"/>
    </row>
    <row r="35" spans="5:13" ht="25.8" x14ac:dyDescent="0.45">
      <c r="E35" s="98">
        <v>45717</v>
      </c>
      <c r="F35" s="87">
        <v>10524</v>
      </c>
      <c r="G35" s="87">
        <v>6816</v>
      </c>
      <c r="H35" s="87">
        <v>3192</v>
      </c>
      <c r="I35" s="87">
        <v>360</v>
      </c>
      <c r="K35" s="90" t="s">
        <v>26</v>
      </c>
      <c r="L35" s="92">
        <v>66.666629999999998</v>
      </c>
      <c r="M35" s="92"/>
    </row>
    <row r="36" spans="5:13" ht="25.8" x14ac:dyDescent="0.45">
      <c r="E36" s="98">
        <v>45748</v>
      </c>
      <c r="F36" s="87">
        <v>10464</v>
      </c>
      <c r="G36" s="87">
        <v>6468</v>
      </c>
      <c r="H36" s="87">
        <v>2760</v>
      </c>
      <c r="I36" s="87">
        <v>240</v>
      </c>
      <c r="K36" s="90" t="s">
        <v>20</v>
      </c>
      <c r="L36" s="93">
        <v>66.528999999999996</v>
      </c>
      <c r="M36" s="93"/>
    </row>
    <row r="37" spans="5:13" ht="25.8" x14ac:dyDescent="0.45">
      <c r="E37" s="98">
        <v>45778</v>
      </c>
      <c r="F37" s="87">
        <v>10320</v>
      </c>
      <c r="G37" s="87">
        <v>6540</v>
      </c>
      <c r="H37" s="87">
        <v>3144</v>
      </c>
      <c r="I37" s="87">
        <v>360</v>
      </c>
      <c r="K37" s="90" t="s">
        <v>22</v>
      </c>
      <c r="L37" s="92">
        <v>66.25</v>
      </c>
      <c r="M37" s="92"/>
    </row>
    <row r="38" spans="5:13" ht="25.8" x14ac:dyDescent="0.45">
      <c r="E38" s="98">
        <v>45809</v>
      </c>
      <c r="F38" s="87">
        <v>10308.000000000002</v>
      </c>
      <c r="G38" s="87">
        <v>6612</v>
      </c>
      <c r="H38" s="87">
        <v>3024</v>
      </c>
      <c r="I38" s="87">
        <v>252</v>
      </c>
      <c r="K38" s="90" t="s">
        <v>25</v>
      </c>
      <c r="L38" s="93">
        <v>64.406800000000004</v>
      </c>
      <c r="M38" s="93"/>
    </row>
    <row r="39" spans="5:13" ht="25.8" x14ac:dyDescent="0.45">
      <c r="E39" s="98">
        <v>45839</v>
      </c>
      <c r="F39" s="87">
        <v>10368.000000000002</v>
      </c>
      <c r="G39" s="87">
        <v>6768</v>
      </c>
      <c r="H39" s="87">
        <v>3108</v>
      </c>
      <c r="I39" s="87">
        <v>324.00000000000006</v>
      </c>
      <c r="K39" s="90" t="s">
        <v>24</v>
      </c>
      <c r="L39" s="92">
        <v>63.698589999999996</v>
      </c>
      <c r="M39" s="92"/>
    </row>
    <row r="40" spans="5:13" ht="25.8" x14ac:dyDescent="0.45">
      <c r="E40" s="99">
        <v>45870</v>
      </c>
      <c r="F40" s="87">
        <v>8496</v>
      </c>
      <c r="G40" s="87">
        <v>3564</v>
      </c>
      <c r="H40" s="87">
        <v>900</v>
      </c>
      <c r="I40" s="87">
        <v>24</v>
      </c>
      <c r="K40" s="90" t="s">
        <v>4</v>
      </c>
      <c r="L40" s="93">
        <v>61.904790000000006</v>
      </c>
      <c r="M40" s="93"/>
    </row>
    <row r="41" spans="5:13" ht="25.8" x14ac:dyDescent="0.45">
      <c r="E41" s="95" t="s">
        <v>41</v>
      </c>
      <c r="F41" s="96">
        <v>81240</v>
      </c>
      <c r="G41" s="96">
        <v>50232</v>
      </c>
      <c r="H41" s="96">
        <v>21972</v>
      </c>
      <c r="I41" s="96">
        <v>2244</v>
      </c>
      <c r="K41" s="90" t="s">
        <v>23</v>
      </c>
      <c r="L41" s="92">
        <v>60.824699999999993</v>
      </c>
      <c r="M41" s="92"/>
    </row>
    <row r="42" spans="5:13" ht="25.8" x14ac:dyDescent="0.45">
      <c r="K42" s="90" t="s">
        <v>6</v>
      </c>
      <c r="L42" s="94">
        <v>59.090900000000005</v>
      </c>
      <c r="M42" s="94"/>
    </row>
    <row r="49" ht="14.4" customHeight="1" x14ac:dyDescent="0.3"/>
    <row r="53" ht="55.2" customHeight="1" x14ac:dyDescent="0.3"/>
  </sheetData>
  <customSheetViews>
    <customSheetView guid="{B4689923-BFB1-4959-AD38-52E20EC7A981}" scale="50" showPageBreaks="1" showGridLines="0" fitToPage="1" view="pageLayout">
      <selection activeCell="R10" sqref="R10"/>
      <pageMargins left="0.25" right="0.25" top="0.75" bottom="0.75" header="0.3" footer="0.3"/>
      <pageSetup paperSize="9" scale="59" fitToHeight="0" orientation="landscape" horizontalDpi="360" verticalDpi="360" r:id="rId1"/>
    </customSheetView>
  </customSheetViews>
  <mergeCells count="47">
    <mergeCell ref="L39:M39"/>
    <mergeCell ref="L40:M40"/>
    <mergeCell ref="L41:M41"/>
    <mergeCell ref="L42:M42"/>
    <mergeCell ref="K31:K32"/>
    <mergeCell ref="L34:M34"/>
    <mergeCell ref="L35:M35"/>
    <mergeCell ref="L36:M36"/>
    <mergeCell ref="L37:M37"/>
    <mergeCell ref="L38:M38"/>
    <mergeCell ref="L31:M31"/>
    <mergeCell ref="L32:M32"/>
    <mergeCell ref="L33:M33"/>
    <mergeCell ref="E31:I31"/>
    <mergeCell ref="K27:M27"/>
    <mergeCell ref="K25:M25"/>
    <mergeCell ref="K29:M29"/>
    <mergeCell ref="J24:M24"/>
    <mergeCell ref="K23:M23"/>
    <mergeCell ref="L10:M11"/>
    <mergeCell ref="B13:E13"/>
    <mergeCell ref="F13:I13"/>
    <mergeCell ref="J13:M13"/>
    <mergeCell ref="C23:E23"/>
    <mergeCell ref="C19:E19"/>
    <mergeCell ref="K15:M15"/>
    <mergeCell ref="K17:M17"/>
    <mergeCell ref="K19:M19"/>
    <mergeCell ref="K21:M21"/>
    <mergeCell ref="B25:D28"/>
    <mergeCell ref="F22:I22"/>
    <mergeCell ref="C9:D9"/>
    <mergeCell ref="C8:D8"/>
    <mergeCell ref="B15:E18"/>
    <mergeCell ref="F15:I16"/>
    <mergeCell ref="B21:E22"/>
    <mergeCell ref="C10:D11"/>
    <mergeCell ref="F10:G11"/>
    <mergeCell ref="I10:J11"/>
    <mergeCell ref="B1:M2"/>
    <mergeCell ref="B6:M6"/>
    <mergeCell ref="F8:G8"/>
    <mergeCell ref="I8:J9"/>
    <mergeCell ref="F9:G9"/>
    <mergeCell ref="L8:M8"/>
    <mergeCell ref="L9:M9"/>
    <mergeCell ref="B3:M3"/>
  </mergeCells>
  <conditionalFormatting sqref="L33:L42">
    <cfRule type="colorScale" priority="1">
      <colorScale>
        <cfvo type="min"/>
        <cfvo type="max"/>
        <color rgb="FFFCFCFF"/>
        <color rgb="FFF8696B"/>
      </colorScale>
    </cfRule>
  </conditionalFormatting>
  <pageMargins left="0" right="4.88" top="0" bottom="0" header="0" footer="0"/>
  <pageSetup paperSize="9" scale="21" orientation="landscape" horizontalDpi="360" verticalDpi="36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187E-C62B-4D0C-A33C-C5DBE13E0FDA}">
  <dimension ref="A1:F3"/>
  <sheetViews>
    <sheetView workbookViewId="0">
      <selection activeCell="E15" sqref="E15"/>
    </sheetView>
  </sheetViews>
  <sheetFormatPr baseColWidth="10" defaultRowHeight="14.4" x14ac:dyDescent="0.3"/>
  <cols>
    <col min="1" max="1" width="19.77734375" bestFit="1" customWidth="1"/>
    <col min="2" max="2" width="19.88671875" bestFit="1" customWidth="1"/>
    <col min="3" max="3" width="23" bestFit="1" customWidth="1"/>
    <col min="4" max="4" width="24.88671875" bestFit="1" customWidth="1"/>
    <col min="5" max="5" width="25.33203125" bestFit="1" customWidth="1"/>
    <col min="6" max="6" width="17.6640625" bestFit="1" customWidth="1"/>
  </cols>
  <sheetData>
    <row r="1" spans="1:6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s="9" customFormat="1" x14ac:dyDescent="0.3">
      <c r="A2" s="7" t="s">
        <v>33</v>
      </c>
      <c r="B2" s="7" t="s">
        <v>34</v>
      </c>
      <c r="C2" s="8" t="s">
        <v>32</v>
      </c>
      <c r="D2" s="8" t="s">
        <v>36</v>
      </c>
      <c r="E2" s="8" t="s">
        <v>35</v>
      </c>
      <c r="F2" s="8" t="s">
        <v>37</v>
      </c>
    </row>
    <row r="3" spans="1:6" x14ac:dyDescent="0.3">
      <c r="A3" s="3">
        <v>76.897400000000005</v>
      </c>
      <c r="B3" s="3">
        <v>11.0092</v>
      </c>
      <c r="C3" s="3">
        <v>4.0033399999999997</v>
      </c>
      <c r="D3" s="3">
        <v>2.4186800000000002</v>
      </c>
      <c r="E3" s="3">
        <v>2.08507</v>
      </c>
      <c r="F3" s="3">
        <v>1.2510399999999999</v>
      </c>
    </row>
  </sheetData>
  <customSheetViews>
    <customSheetView guid="{B4689923-BFB1-4959-AD38-52E20EC7A981}" showPageBreaks="1">
      <selection activeCell="A2" sqref="A2:XFD2"/>
      <pageMargins left="0.7" right="0.7" top="0.75" bottom="0.75" header="0.3" footer="0.3"/>
      <pageSetup orientation="portrait" horizontalDpi="360" verticalDpi="360" r:id="rId1"/>
    </customSheetView>
  </customSheetViews>
  <pageMargins left="0.7" right="0.7" top="0.75" bottom="0.75" header="0.3" footer="0.3"/>
  <pageSetup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94DB-AC53-40F1-ACD0-524DA47581BE}">
  <dimension ref="A1:L43"/>
  <sheetViews>
    <sheetView showGridLines="0" zoomScale="90" zoomScaleNormal="90" workbookViewId="0">
      <selection activeCell="H3" sqref="H3:I12"/>
    </sheetView>
  </sheetViews>
  <sheetFormatPr baseColWidth="10" defaultRowHeight="14.4" x14ac:dyDescent="0.3"/>
  <cols>
    <col min="1" max="1" width="9.33203125" customWidth="1"/>
    <col min="2" max="2" width="12.44140625" hidden="1" customWidth="1"/>
    <col min="3" max="3" width="11.33203125" hidden="1" customWidth="1"/>
    <col min="4" max="4" width="10" hidden="1" customWidth="1"/>
    <col min="5" max="5" width="24.88671875" bestFit="1" customWidth="1"/>
    <col min="6" max="6" width="25.33203125" bestFit="1" customWidth="1"/>
    <col min="7" max="7" width="17.6640625" bestFit="1" customWidth="1"/>
    <col min="8" max="8" width="25.88671875" customWidth="1"/>
  </cols>
  <sheetData>
    <row r="1" spans="1:9" ht="27.6" x14ac:dyDescent="0.3">
      <c r="A1" s="2" t="s">
        <v>19</v>
      </c>
      <c r="B1" s="4" t="s">
        <v>13</v>
      </c>
      <c r="C1" s="4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10" t="s">
        <v>38</v>
      </c>
      <c r="I1" s="2" t="s">
        <v>19</v>
      </c>
    </row>
    <row r="2" spans="1:9" s="9" customFormat="1" x14ac:dyDescent="0.3">
      <c r="A2" s="17" t="s">
        <v>48</v>
      </c>
      <c r="B2" s="7" t="s">
        <v>33</v>
      </c>
      <c r="C2" s="7" t="s">
        <v>34</v>
      </c>
      <c r="D2" s="8" t="s">
        <v>32</v>
      </c>
      <c r="E2" s="8" t="s">
        <v>36</v>
      </c>
      <c r="F2" s="8" t="s">
        <v>35</v>
      </c>
      <c r="G2" s="8" t="s">
        <v>37</v>
      </c>
    </row>
    <row r="3" spans="1:9" x14ac:dyDescent="0.3">
      <c r="A3" s="13" t="s">
        <v>21</v>
      </c>
      <c r="B3" s="5">
        <v>84.545500000000004</v>
      </c>
      <c r="C3" s="5">
        <v>10</v>
      </c>
      <c r="D3" s="5">
        <v>2.7272699999999999</v>
      </c>
      <c r="E3" s="5">
        <v>2.7272699999999999</v>
      </c>
      <c r="F3" s="5">
        <v>1.8181799999999999</v>
      </c>
      <c r="G3" s="5">
        <v>1.8181799999999999</v>
      </c>
      <c r="H3" s="12">
        <f>B3-C3</f>
        <v>74.545500000000004</v>
      </c>
      <c r="I3" s="13" t="s">
        <v>21</v>
      </c>
    </row>
    <row r="4" spans="1:9" x14ac:dyDescent="0.3">
      <c r="A4" s="13" t="s">
        <v>5</v>
      </c>
      <c r="B4" s="5">
        <v>80.645200000000003</v>
      </c>
      <c r="C4" s="5">
        <v>9.6774199999999997</v>
      </c>
      <c r="D4" s="5">
        <v>3.2258100000000001</v>
      </c>
      <c r="E4" s="5">
        <v>3.2258100000000001</v>
      </c>
      <c r="F4" s="5">
        <v>3.2258100000000001</v>
      </c>
      <c r="G4" s="5">
        <v>3.2258100000000001</v>
      </c>
      <c r="H4" s="12">
        <f>B4-C4</f>
        <v>70.967780000000005</v>
      </c>
      <c r="I4" s="13" t="s">
        <v>5</v>
      </c>
    </row>
    <row r="5" spans="1:9" x14ac:dyDescent="0.3">
      <c r="A5" s="13" t="s">
        <v>26</v>
      </c>
      <c r="B5" s="5">
        <v>76.363600000000005</v>
      </c>
      <c r="C5" s="5">
        <v>9.6969700000000003</v>
      </c>
      <c r="D5" s="5">
        <v>4.8484800000000003</v>
      </c>
      <c r="E5" s="5">
        <v>3.0303</v>
      </c>
      <c r="F5" s="5">
        <v>2.4242400000000002</v>
      </c>
      <c r="G5" s="5">
        <v>0</v>
      </c>
      <c r="H5" s="12">
        <f>B5-C5</f>
        <v>66.666629999999998</v>
      </c>
      <c r="I5" s="13" t="s">
        <v>26</v>
      </c>
    </row>
    <row r="6" spans="1:9" x14ac:dyDescent="0.3">
      <c r="A6" s="13" t="s">
        <v>20</v>
      </c>
      <c r="B6" s="5">
        <v>79.752099999999999</v>
      </c>
      <c r="C6" s="5">
        <v>13.223100000000001</v>
      </c>
      <c r="D6" s="5">
        <v>4.1322299999999998</v>
      </c>
      <c r="E6" s="5">
        <v>3.30579</v>
      </c>
      <c r="F6" s="5">
        <v>2.89256</v>
      </c>
      <c r="G6" s="5">
        <v>2.4793400000000001</v>
      </c>
      <c r="H6" s="12">
        <f>B6-C6</f>
        <v>66.528999999999996</v>
      </c>
      <c r="I6" s="13" t="s">
        <v>20</v>
      </c>
    </row>
    <row r="7" spans="1:9" x14ac:dyDescent="0.3">
      <c r="A7" s="3" t="s">
        <v>22</v>
      </c>
      <c r="B7" s="5">
        <v>75</v>
      </c>
      <c r="C7" s="5">
        <v>8.75</v>
      </c>
      <c r="D7" s="5">
        <v>4.375</v>
      </c>
      <c r="E7" s="5">
        <v>1.875</v>
      </c>
      <c r="F7" s="5">
        <v>1.875</v>
      </c>
      <c r="G7" s="5">
        <v>1.25</v>
      </c>
      <c r="H7" s="11">
        <f>B7-C7</f>
        <v>66.25</v>
      </c>
      <c r="I7" s="3" t="s">
        <v>22</v>
      </c>
    </row>
    <row r="8" spans="1:9" x14ac:dyDescent="0.3">
      <c r="A8" s="3" t="s">
        <v>25</v>
      </c>
      <c r="B8" s="5">
        <v>74.576300000000003</v>
      </c>
      <c r="C8" s="5">
        <v>10.169499999999999</v>
      </c>
      <c r="D8" s="5">
        <v>5.0847499999999997</v>
      </c>
      <c r="E8" s="5">
        <v>1.69492</v>
      </c>
      <c r="F8" s="5">
        <v>1.69492</v>
      </c>
      <c r="G8" s="5">
        <v>0</v>
      </c>
      <c r="H8" s="11">
        <f>B8-C8</f>
        <v>64.406800000000004</v>
      </c>
      <c r="I8" s="3" t="s">
        <v>25</v>
      </c>
    </row>
    <row r="9" spans="1:9" x14ac:dyDescent="0.3">
      <c r="A9" s="3" t="s">
        <v>24</v>
      </c>
      <c r="B9" s="5">
        <v>72.602699999999999</v>
      </c>
      <c r="C9" s="5">
        <v>8.9041099999999993</v>
      </c>
      <c r="D9" s="5">
        <v>2.3972600000000002</v>
      </c>
      <c r="E9" s="5">
        <v>1.3698600000000001</v>
      </c>
      <c r="F9" s="5">
        <v>1.3698600000000001</v>
      </c>
      <c r="G9" s="5">
        <v>0.68493199999999999</v>
      </c>
      <c r="H9" s="11">
        <f>B9-C9</f>
        <v>63.698589999999996</v>
      </c>
      <c r="I9" s="3" t="s">
        <v>24</v>
      </c>
    </row>
    <row r="10" spans="1:9" x14ac:dyDescent="0.3">
      <c r="A10" s="3" t="s">
        <v>4</v>
      </c>
      <c r="B10" s="5">
        <v>71.428600000000003</v>
      </c>
      <c r="C10" s="5">
        <v>9.5238099999999992</v>
      </c>
      <c r="D10" s="5">
        <v>0</v>
      </c>
      <c r="E10" s="5">
        <v>0</v>
      </c>
      <c r="F10" s="5">
        <v>0</v>
      </c>
      <c r="G10" s="5">
        <v>0</v>
      </c>
      <c r="H10" s="11">
        <f>B10-C10</f>
        <v>61.904790000000006</v>
      </c>
      <c r="I10" s="3" t="s">
        <v>4</v>
      </c>
    </row>
    <row r="11" spans="1:9" x14ac:dyDescent="0.3">
      <c r="A11" s="3" t="s">
        <v>23</v>
      </c>
      <c r="B11" s="5">
        <v>78.350499999999997</v>
      </c>
      <c r="C11" s="5">
        <v>17.5258</v>
      </c>
      <c r="D11" s="5">
        <v>8.24742</v>
      </c>
      <c r="E11" s="5">
        <v>3.0927799999999999</v>
      </c>
      <c r="F11" s="5">
        <v>2.0618599999999998</v>
      </c>
      <c r="G11" s="5">
        <v>1.0309299999999999</v>
      </c>
      <c r="H11" s="11">
        <f>B11-C11</f>
        <v>60.824699999999993</v>
      </c>
      <c r="I11" s="3" t="s">
        <v>23</v>
      </c>
    </row>
    <row r="12" spans="1:9" x14ac:dyDescent="0.3">
      <c r="A12" s="3" t="s">
        <v>6</v>
      </c>
      <c r="B12" s="5">
        <v>81.818200000000004</v>
      </c>
      <c r="C12" s="5">
        <v>22.7273</v>
      </c>
      <c r="D12" s="5">
        <v>4.5454499999999998</v>
      </c>
      <c r="E12" s="5">
        <v>4.5454499999999998</v>
      </c>
      <c r="F12" s="5">
        <v>4.5454499999999998</v>
      </c>
      <c r="G12" s="5">
        <v>4.5454499999999998</v>
      </c>
      <c r="H12" s="11">
        <f>B12-C12</f>
        <v>59.090900000000005</v>
      </c>
      <c r="I12" s="3" t="s">
        <v>6</v>
      </c>
    </row>
    <row r="19" spans="1:12" x14ac:dyDescent="0.3">
      <c r="A19" s="2" t="s">
        <v>19</v>
      </c>
      <c r="B19" s="17" t="s">
        <v>48</v>
      </c>
      <c r="C19" s="3" t="s">
        <v>6</v>
      </c>
      <c r="D19" s="3" t="s">
        <v>23</v>
      </c>
      <c r="E19" s="3" t="s">
        <v>4</v>
      </c>
      <c r="F19" s="3" t="s">
        <v>24</v>
      </c>
      <c r="G19" s="3" t="s">
        <v>25</v>
      </c>
      <c r="H19" s="3" t="s">
        <v>22</v>
      </c>
      <c r="I19" s="13" t="s">
        <v>20</v>
      </c>
      <c r="J19" s="13" t="s">
        <v>26</v>
      </c>
      <c r="K19" s="13" t="s">
        <v>5</v>
      </c>
      <c r="L19" s="13" t="s">
        <v>21</v>
      </c>
    </row>
    <row r="20" spans="1:12" x14ac:dyDescent="0.3">
      <c r="A20" s="4" t="s">
        <v>13</v>
      </c>
      <c r="B20" s="7" t="s">
        <v>33</v>
      </c>
      <c r="C20" s="5">
        <v>81.818200000000004</v>
      </c>
      <c r="D20" s="5">
        <v>78.350499999999997</v>
      </c>
      <c r="E20" s="5">
        <v>71.428600000000003</v>
      </c>
      <c r="F20" s="5">
        <v>72.602699999999999</v>
      </c>
      <c r="G20" s="5">
        <v>74.576300000000003</v>
      </c>
      <c r="H20" s="5">
        <v>75</v>
      </c>
      <c r="I20" s="5">
        <v>79.752099999999999</v>
      </c>
      <c r="J20" s="5">
        <v>76.363600000000005</v>
      </c>
      <c r="K20" s="5">
        <v>80.645200000000003</v>
      </c>
      <c r="L20" s="5">
        <v>84.545500000000004</v>
      </c>
    </row>
    <row r="21" spans="1:12" x14ac:dyDescent="0.3">
      <c r="A21" s="4" t="s">
        <v>14</v>
      </c>
      <c r="B21" s="7" t="s">
        <v>34</v>
      </c>
      <c r="C21" s="5">
        <v>22.7273</v>
      </c>
      <c r="D21" s="5">
        <v>17.5258</v>
      </c>
      <c r="E21" s="5">
        <v>9.5238099999999992</v>
      </c>
      <c r="F21" s="5">
        <v>8.9041099999999993</v>
      </c>
      <c r="G21" s="5">
        <v>10.169499999999999</v>
      </c>
      <c r="H21" s="5">
        <v>8.75</v>
      </c>
      <c r="I21" s="5">
        <v>13.223100000000001</v>
      </c>
      <c r="J21" s="5">
        <v>9.6969700000000003</v>
      </c>
      <c r="K21" s="5">
        <v>9.6774199999999997</v>
      </c>
      <c r="L21" s="5">
        <v>10</v>
      </c>
    </row>
    <row r="22" spans="1:12" x14ac:dyDescent="0.3">
      <c r="A22" s="2" t="s">
        <v>15</v>
      </c>
      <c r="B22" s="8" t="s">
        <v>32</v>
      </c>
      <c r="C22" s="5">
        <v>4.5454499999999998</v>
      </c>
      <c r="D22" s="5">
        <v>8.24742</v>
      </c>
      <c r="E22" s="5">
        <v>0</v>
      </c>
      <c r="F22" s="5">
        <v>2.3972600000000002</v>
      </c>
      <c r="G22" s="5">
        <v>5.0847499999999997</v>
      </c>
      <c r="H22" s="5">
        <v>4.375</v>
      </c>
      <c r="I22" s="5">
        <v>4.1322299999999998</v>
      </c>
      <c r="J22" s="5">
        <v>4.8484800000000003</v>
      </c>
      <c r="K22" s="5">
        <v>3.2258100000000001</v>
      </c>
      <c r="L22" s="5">
        <v>2.7272699999999999</v>
      </c>
    </row>
    <row r="23" spans="1:12" x14ac:dyDescent="0.3">
      <c r="A23" s="2" t="s">
        <v>16</v>
      </c>
      <c r="B23" s="8" t="s">
        <v>36</v>
      </c>
      <c r="C23" s="5">
        <v>4.5454499999999998</v>
      </c>
      <c r="D23" s="5">
        <v>3.0927799999999999</v>
      </c>
      <c r="E23" s="5">
        <v>0</v>
      </c>
      <c r="F23" s="5">
        <v>1.3698600000000001</v>
      </c>
      <c r="G23" s="5">
        <v>1.69492</v>
      </c>
      <c r="H23" s="5">
        <v>1.875</v>
      </c>
      <c r="I23" s="5">
        <v>3.30579</v>
      </c>
      <c r="J23" s="5">
        <v>3.0303</v>
      </c>
      <c r="K23" s="5">
        <v>3.2258100000000001</v>
      </c>
      <c r="L23" s="5">
        <v>2.7272699999999999</v>
      </c>
    </row>
    <row r="24" spans="1:12" x14ac:dyDescent="0.3">
      <c r="A24" s="2" t="s">
        <v>17</v>
      </c>
      <c r="B24" s="8" t="s">
        <v>35</v>
      </c>
      <c r="C24" s="5">
        <v>4.5454499999999998</v>
      </c>
      <c r="D24" s="5">
        <v>2.0618599999999998</v>
      </c>
      <c r="E24" s="5">
        <v>0</v>
      </c>
      <c r="F24" s="5">
        <v>1.3698600000000001</v>
      </c>
      <c r="G24" s="5">
        <v>1.69492</v>
      </c>
      <c r="H24" s="5">
        <v>1.875</v>
      </c>
      <c r="I24" s="5">
        <v>2.89256</v>
      </c>
      <c r="J24" s="5">
        <v>2.4242400000000002</v>
      </c>
      <c r="K24" s="5">
        <v>3.2258100000000001</v>
      </c>
      <c r="L24" s="5">
        <v>1.8181799999999999</v>
      </c>
    </row>
    <row r="25" spans="1:12" x14ac:dyDescent="0.3">
      <c r="A25" s="2" t="s">
        <v>18</v>
      </c>
      <c r="B25" s="8" t="s">
        <v>37</v>
      </c>
      <c r="C25" s="5">
        <v>4.5454499999999998</v>
      </c>
      <c r="D25" s="5">
        <v>1.0309299999999999</v>
      </c>
      <c r="E25" s="5">
        <v>0</v>
      </c>
      <c r="F25" s="5">
        <v>0.68493199999999999</v>
      </c>
      <c r="G25" s="5">
        <v>0</v>
      </c>
      <c r="H25" s="5">
        <v>1.25</v>
      </c>
      <c r="I25" s="5">
        <v>2.4793400000000001</v>
      </c>
      <c r="J25" s="5">
        <v>0</v>
      </c>
      <c r="K25" s="5">
        <v>3.2258100000000001</v>
      </c>
      <c r="L25" s="5">
        <v>1.8181799999999999</v>
      </c>
    </row>
    <row r="26" spans="1:12" ht="41.4" x14ac:dyDescent="0.3">
      <c r="A26" s="10" t="s">
        <v>38</v>
      </c>
      <c r="B26" s="9"/>
      <c r="C26" s="11">
        <f t="shared" ref="C26:L26" si="0">C20-C21</f>
        <v>59.090900000000005</v>
      </c>
      <c r="D26" s="11">
        <f t="shared" si="0"/>
        <v>60.824699999999993</v>
      </c>
      <c r="E26" s="11">
        <f t="shared" si="0"/>
        <v>61.904790000000006</v>
      </c>
      <c r="F26" s="11">
        <f t="shared" si="0"/>
        <v>63.698589999999996</v>
      </c>
      <c r="G26" s="11">
        <f t="shared" si="0"/>
        <v>64.406800000000004</v>
      </c>
      <c r="H26" s="11">
        <f t="shared" si="0"/>
        <v>66.25</v>
      </c>
      <c r="I26" s="12">
        <f t="shared" si="0"/>
        <v>66.528999999999996</v>
      </c>
      <c r="J26" s="12">
        <f t="shared" si="0"/>
        <v>66.666629999999998</v>
      </c>
      <c r="K26" s="12">
        <f t="shared" si="0"/>
        <v>70.967780000000005</v>
      </c>
      <c r="L26" s="12">
        <f t="shared" si="0"/>
        <v>74.545500000000004</v>
      </c>
    </row>
    <row r="30" spans="1:12" x14ac:dyDescent="0.3">
      <c r="A30" s="2" t="s">
        <v>19</v>
      </c>
      <c r="B30" s="4" t="s">
        <v>13</v>
      </c>
      <c r="C30" s="4" t="s">
        <v>14</v>
      </c>
    </row>
    <row r="31" spans="1:12" x14ac:dyDescent="0.3">
      <c r="A31" s="2"/>
      <c r="B31" s="2"/>
      <c r="C31" s="2"/>
    </row>
    <row r="32" spans="1:12" ht="28.8" x14ac:dyDescent="0.3">
      <c r="A32" s="19" t="s">
        <v>48</v>
      </c>
      <c r="B32" s="19" t="s">
        <v>33</v>
      </c>
      <c r="C32" s="19" t="s">
        <v>34</v>
      </c>
      <c r="D32" s="17" t="s">
        <v>37</v>
      </c>
      <c r="E32" s="19" t="s">
        <v>49</v>
      </c>
      <c r="F32" s="19" t="s">
        <v>49</v>
      </c>
    </row>
    <row r="33" spans="1:6" x14ac:dyDescent="0.3">
      <c r="A33" s="18"/>
      <c r="B33" s="18"/>
      <c r="C33" s="18"/>
      <c r="D33" s="22"/>
      <c r="E33" s="23" t="s">
        <v>54</v>
      </c>
      <c r="F33" s="23" t="s">
        <v>50</v>
      </c>
    </row>
    <row r="34" spans="1:6" ht="15.6" x14ac:dyDescent="0.3">
      <c r="A34" s="2" t="s">
        <v>6</v>
      </c>
      <c r="B34" s="5">
        <v>81.818200000000004</v>
      </c>
      <c r="C34" s="5">
        <v>22.7273</v>
      </c>
      <c r="D34" s="5">
        <v>4.5454499999999998</v>
      </c>
      <c r="E34" s="24">
        <f t="shared" ref="E34:E43" si="1">B34-C34</f>
        <v>59.090900000000005</v>
      </c>
      <c r="F34" s="24">
        <f>B34-D34</f>
        <v>77.272750000000002</v>
      </c>
    </row>
    <row r="35" spans="1:6" ht="15.6" x14ac:dyDescent="0.3">
      <c r="A35" s="2" t="s">
        <v>23</v>
      </c>
      <c r="B35" s="5">
        <v>78.350499999999997</v>
      </c>
      <c r="C35" s="5">
        <v>17.5258</v>
      </c>
      <c r="D35" s="5">
        <v>1.0309299999999999</v>
      </c>
      <c r="E35" s="24">
        <f t="shared" si="1"/>
        <v>60.824699999999993</v>
      </c>
      <c r="F35" s="24">
        <f t="shared" ref="F35:F43" si="2">B35-D35</f>
        <v>77.319569999999999</v>
      </c>
    </row>
    <row r="36" spans="1:6" ht="15.6" x14ac:dyDescent="0.3">
      <c r="A36" s="2" t="s">
        <v>4</v>
      </c>
      <c r="B36" s="5">
        <v>71.428600000000003</v>
      </c>
      <c r="C36" s="5">
        <v>9.5238099999999992</v>
      </c>
      <c r="D36" s="5">
        <v>0</v>
      </c>
      <c r="E36" s="24">
        <f t="shared" si="1"/>
        <v>61.904790000000006</v>
      </c>
      <c r="F36" s="24">
        <f t="shared" si="2"/>
        <v>71.428600000000003</v>
      </c>
    </row>
    <row r="37" spans="1:6" ht="15.6" x14ac:dyDescent="0.3">
      <c r="A37" s="2" t="s">
        <v>24</v>
      </c>
      <c r="B37" s="5">
        <v>72.602699999999999</v>
      </c>
      <c r="C37" s="5">
        <v>8.9041099999999993</v>
      </c>
      <c r="D37" s="5">
        <v>0.68493199999999999</v>
      </c>
      <c r="E37" s="24">
        <f t="shared" si="1"/>
        <v>63.698589999999996</v>
      </c>
      <c r="F37" s="24">
        <f t="shared" si="2"/>
        <v>71.917767999999995</v>
      </c>
    </row>
    <row r="38" spans="1:6" ht="15.6" x14ac:dyDescent="0.3">
      <c r="A38" s="2" t="s">
        <v>25</v>
      </c>
      <c r="B38" s="5">
        <v>74.576300000000003</v>
      </c>
      <c r="C38" s="5">
        <v>10.169499999999999</v>
      </c>
      <c r="D38" s="5">
        <v>0</v>
      </c>
      <c r="E38" s="24">
        <f t="shared" si="1"/>
        <v>64.406800000000004</v>
      </c>
      <c r="F38" s="24">
        <f t="shared" si="2"/>
        <v>74.576300000000003</v>
      </c>
    </row>
    <row r="39" spans="1:6" ht="15.6" x14ac:dyDescent="0.3">
      <c r="A39" s="2" t="s">
        <v>22</v>
      </c>
      <c r="B39" s="5">
        <v>75</v>
      </c>
      <c r="C39" s="5">
        <v>8.75</v>
      </c>
      <c r="D39" s="5">
        <v>1.25</v>
      </c>
      <c r="E39" s="24">
        <f t="shared" si="1"/>
        <v>66.25</v>
      </c>
      <c r="F39" s="24">
        <f t="shared" si="2"/>
        <v>73.75</v>
      </c>
    </row>
    <row r="40" spans="1:6" ht="15.6" x14ac:dyDescent="0.3">
      <c r="A40" s="2" t="s">
        <v>20</v>
      </c>
      <c r="B40" s="5">
        <v>79.752099999999999</v>
      </c>
      <c r="C40" s="5">
        <v>13.223100000000001</v>
      </c>
      <c r="D40" s="5">
        <v>2.4793400000000001</v>
      </c>
      <c r="E40" s="24">
        <f t="shared" si="1"/>
        <v>66.528999999999996</v>
      </c>
      <c r="F40" s="24">
        <f t="shared" si="2"/>
        <v>77.272760000000005</v>
      </c>
    </row>
    <row r="41" spans="1:6" ht="15.6" x14ac:dyDescent="0.3">
      <c r="A41" s="2" t="s">
        <v>26</v>
      </c>
      <c r="B41" s="5">
        <v>76.363600000000005</v>
      </c>
      <c r="C41" s="5">
        <v>9.6969700000000003</v>
      </c>
      <c r="D41" s="5">
        <v>0</v>
      </c>
      <c r="E41" s="24">
        <f t="shared" si="1"/>
        <v>66.666629999999998</v>
      </c>
      <c r="F41" s="24">
        <f t="shared" si="2"/>
        <v>76.363600000000005</v>
      </c>
    </row>
    <row r="42" spans="1:6" ht="15.6" x14ac:dyDescent="0.3">
      <c r="A42" s="2" t="s">
        <v>5</v>
      </c>
      <c r="B42" s="5">
        <v>80.645200000000003</v>
      </c>
      <c r="C42" s="5">
        <v>9.6774199999999997</v>
      </c>
      <c r="D42" s="5">
        <v>3.2258100000000001</v>
      </c>
      <c r="E42" s="24">
        <f t="shared" si="1"/>
        <v>70.967780000000005</v>
      </c>
      <c r="F42" s="24">
        <f t="shared" si="2"/>
        <v>77.419390000000007</v>
      </c>
    </row>
    <row r="43" spans="1:6" ht="15.6" x14ac:dyDescent="0.3">
      <c r="A43" s="2" t="s">
        <v>21</v>
      </c>
      <c r="B43" s="5">
        <v>84.545500000000004</v>
      </c>
      <c r="C43" s="5">
        <v>10</v>
      </c>
      <c r="D43" s="5">
        <v>1.8181799999999999</v>
      </c>
      <c r="E43" s="24">
        <f t="shared" si="1"/>
        <v>74.545500000000004</v>
      </c>
      <c r="F43" s="24">
        <f t="shared" si="2"/>
        <v>82.727320000000006</v>
      </c>
    </row>
  </sheetData>
  <autoFilter ref="A2:L2" xr:uid="{907D94DB-AC53-40F1-ACD0-524DA47581BE}">
    <sortState xmlns:xlrd2="http://schemas.microsoft.com/office/spreadsheetml/2017/richdata2" ref="A3:L12">
      <sortCondition descending="1" ref="H2"/>
    </sortState>
  </autoFilter>
  <customSheetViews>
    <customSheetView guid="{B4689923-BFB1-4959-AD38-52E20EC7A981}" scale="90" showPageBreaks="1" showGridLines="0" showAutoFilter="1" hiddenColumns="1" topLeftCell="A19">
      <selection activeCell="G33" sqref="G33"/>
      <pageMargins left="0.7" right="0.7" top="0.75" bottom="0.75" header="0.3" footer="0.3"/>
      <pageSetup orientation="portrait" horizontalDpi="360" verticalDpi="360" r:id="rId1"/>
      <autoFilter ref="A2:M2" xr:uid="{8AC714C5-25CD-4460-B2C2-9180AF06753B}">
        <sortState xmlns:xlrd2="http://schemas.microsoft.com/office/spreadsheetml/2017/richdata2" ref="A3:M12">
          <sortCondition ref="H2"/>
        </sortState>
      </autoFilter>
    </customSheetView>
  </customSheetViews>
  <conditionalFormatting sqref="C26:L26">
    <cfRule type="dataBar" priority="4">
      <dataBar>
        <cfvo type="num" val="0"/>
        <cfvo type="max"/>
        <color theme="7" tint="0.59999389629810485"/>
      </dataBar>
      <extLst>
        <ext xmlns:x14="http://schemas.microsoft.com/office/spreadsheetml/2009/9/main" uri="{B025F937-C7B1-47D3-B67F-A62EFF666E3E}">
          <x14:id>{AE1A9C5A-5619-41BE-A2E4-F99F1906FDDE}</x14:id>
        </ext>
      </extLst>
    </cfRule>
  </conditionalFormatting>
  <conditionalFormatting sqref="E34:E43">
    <cfRule type="dataBar" priority="1">
      <dataBar>
        <cfvo type="num" val="0"/>
        <cfvo type="max"/>
        <color rgb="FFFF797C"/>
      </dataBar>
      <extLst>
        <ext xmlns:x14="http://schemas.microsoft.com/office/spreadsheetml/2009/9/main" uri="{B025F937-C7B1-47D3-B67F-A62EFF666E3E}">
          <x14:id>{ED9C94E5-597F-4253-8E63-44FA4C1B2010}</x14:id>
        </ext>
      </extLst>
    </cfRule>
  </conditionalFormatting>
  <conditionalFormatting sqref="F34:F43">
    <cfRule type="dataBar" priority="2">
      <dataBar>
        <cfvo type="min"/>
        <cfvo type="max"/>
        <color rgb="FF88A9D4"/>
      </dataBar>
      <extLst>
        <ext xmlns:x14="http://schemas.microsoft.com/office/spreadsheetml/2009/9/main" uri="{B025F937-C7B1-47D3-B67F-A62EFF666E3E}">
          <x14:id>{0498FA06-4FA9-4E7E-8B2D-49904C3FE923}</x14:id>
        </ext>
      </extLst>
    </cfRule>
  </conditionalFormatting>
  <conditionalFormatting sqref="H3:H12">
    <cfRule type="dataBar" priority="6">
      <dataBar>
        <cfvo type="num" val="0"/>
        <cfvo type="max"/>
        <color theme="7" tint="0.59999389629810485"/>
      </dataBar>
      <extLst>
        <ext xmlns:x14="http://schemas.microsoft.com/office/spreadsheetml/2009/9/main" uri="{B025F937-C7B1-47D3-B67F-A62EFF666E3E}">
          <x14:id>{56CE643F-684D-4700-ACCB-C2C7E13037C5}</x14:id>
        </ext>
      </extLst>
    </cfRule>
  </conditionalFormatting>
  <pageMargins left="0.7" right="0.7" top="0.75" bottom="0.75" header="0.3" footer="0.3"/>
  <pageSetup orientation="portrait" horizontalDpi="360" verticalDpi="36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1A9C5A-5619-41BE-A2E4-F99F1906FDDE}">
            <x14:dataBar minLength="0" maxLength="100" gradient="0">
              <x14:cfvo type="num">
                <xm:f>0</xm:f>
              </x14:cfvo>
              <x14:cfvo type="max"/>
              <x14:negativeFillColor rgb="FFFF0000"/>
              <x14:axisColor rgb="FF000000"/>
            </x14:dataBar>
          </x14:cfRule>
          <xm:sqref>C26:L26</xm:sqref>
        </x14:conditionalFormatting>
        <x14:conditionalFormatting xmlns:xm="http://schemas.microsoft.com/office/excel/2006/main">
          <x14:cfRule type="dataBar" id="{ED9C94E5-597F-4253-8E63-44FA4C1B2010}">
            <x14:dataBar minLength="0" maxLength="100" border="1" negativeBarBorderColorSameAsPositive="0">
              <x14:cfvo type="num">
                <xm:f>0</xm:f>
              </x14:cfvo>
              <x14:cfvo type="max"/>
              <x14:borderColor rgb="FFFF8588"/>
              <x14:negativeFillColor rgb="FFFF0000"/>
              <x14:negativeBorderColor rgb="FFFF0000"/>
              <x14:axisColor rgb="FF000000"/>
            </x14:dataBar>
          </x14:cfRule>
          <xm:sqref>E34:E43</xm:sqref>
        </x14:conditionalFormatting>
        <x14:conditionalFormatting xmlns:xm="http://schemas.microsoft.com/office/excel/2006/main">
          <x14:cfRule type="dataBar" id="{0498FA06-4FA9-4E7E-8B2D-49904C3FE923}">
            <x14:dataBar minLength="0" maxLength="100" border="1" negativeBarBorderColorSameAsPositive="0">
              <x14:cfvo type="autoMin"/>
              <x14:cfvo type="autoMax"/>
              <x14:borderColor rgb="FFD2DEEE"/>
              <x14:negativeFillColor rgb="FFFF0000"/>
              <x14:negativeBorderColor rgb="FFFF0000"/>
              <x14:axisColor rgb="FF000000"/>
            </x14:dataBar>
          </x14:cfRule>
          <xm:sqref>F34:F43</xm:sqref>
        </x14:conditionalFormatting>
        <x14:conditionalFormatting xmlns:xm="http://schemas.microsoft.com/office/excel/2006/main">
          <x14:cfRule type="dataBar" id="{56CE643F-684D-4700-ACCB-C2C7E13037C5}">
            <x14:dataBar minLength="0" maxLength="100" gradient="0">
              <x14:cfvo type="num">
                <xm:f>0</xm:f>
              </x14:cfvo>
              <x14:cfvo type="max"/>
              <x14:negativeFillColor rgb="FFFF0000"/>
              <x14:axisColor rgb="FF000000"/>
            </x14:dataBar>
          </x14:cfRule>
          <xm:sqref>H3:H12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27CE-4F25-4546-8BA3-57576326D38C}">
  <dimension ref="A1:M21"/>
  <sheetViews>
    <sheetView zoomScale="84" workbookViewId="0">
      <selection activeCell="F10" sqref="F10"/>
    </sheetView>
  </sheetViews>
  <sheetFormatPr baseColWidth="10" defaultRowHeight="14.4" x14ac:dyDescent="0.3"/>
  <cols>
    <col min="1" max="1" width="15.21875" customWidth="1"/>
    <col min="2" max="2" width="14.44140625" bestFit="1" customWidth="1"/>
    <col min="3" max="5" width="15.44140625" bestFit="1" customWidth="1"/>
  </cols>
  <sheetData>
    <row r="1" spans="1:6" x14ac:dyDescent="0.3">
      <c r="A1" s="3" t="s">
        <v>19</v>
      </c>
      <c r="B1" s="3" t="s">
        <v>27</v>
      </c>
      <c r="C1" s="3" t="s">
        <v>28</v>
      </c>
      <c r="D1" s="3" t="s">
        <v>29</v>
      </c>
      <c r="E1" s="3" t="s">
        <v>30</v>
      </c>
      <c r="F1" s="3"/>
    </row>
    <row r="2" spans="1:6" x14ac:dyDescent="0.3">
      <c r="A2" s="33" t="s">
        <v>42</v>
      </c>
      <c r="B2" s="33" t="s">
        <v>7</v>
      </c>
      <c r="C2" s="33" t="s">
        <v>8</v>
      </c>
      <c r="D2" s="33" t="s">
        <v>9</v>
      </c>
      <c r="E2" s="33" t="s">
        <v>10</v>
      </c>
      <c r="F2" s="3"/>
    </row>
    <row r="3" spans="1:6" x14ac:dyDescent="0.3">
      <c r="A3" s="33" t="s">
        <v>22</v>
      </c>
      <c r="B3" s="3">
        <v>85.1</v>
      </c>
      <c r="C3" s="3">
        <v>52.3</v>
      </c>
      <c r="D3" s="3">
        <v>22.5</v>
      </c>
      <c r="E3" s="3">
        <v>1.8</v>
      </c>
    </row>
    <row r="4" spans="1:6" x14ac:dyDescent="0.3">
      <c r="A4" s="33" t="s">
        <v>5</v>
      </c>
      <c r="B4" s="3">
        <v>80.8</v>
      </c>
      <c r="C4" s="3">
        <v>46.8</v>
      </c>
      <c r="D4" s="3">
        <v>19.2</v>
      </c>
      <c r="E4" s="3">
        <v>2.5</v>
      </c>
    </row>
    <row r="5" spans="1:6" x14ac:dyDescent="0.3">
      <c r="A5" s="33" t="s">
        <v>24</v>
      </c>
      <c r="B5" s="3">
        <v>87.2</v>
      </c>
      <c r="C5" s="3">
        <v>54.4</v>
      </c>
      <c r="D5" s="3">
        <v>24.4</v>
      </c>
      <c r="E5" s="3">
        <v>2.5</v>
      </c>
    </row>
    <row r="6" spans="1:6" x14ac:dyDescent="0.3">
      <c r="A6" s="33" t="s">
        <v>23</v>
      </c>
      <c r="B6" s="3">
        <v>83.7</v>
      </c>
      <c r="C6" s="3">
        <v>51.8</v>
      </c>
      <c r="D6" s="3">
        <v>22.1</v>
      </c>
      <c r="E6" s="3">
        <v>1.7</v>
      </c>
    </row>
    <row r="7" spans="1:6" x14ac:dyDescent="0.3">
      <c r="A7" s="33" t="s">
        <v>26</v>
      </c>
      <c r="B7" s="3">
        <v>84.5</v>
      </c>
      <c r="C7" s="3">
        <v>52</v>
      </c>
      <c r="D7" s="3">
        <v>21.8</v>
      </c>
      <c r="E7" s="3">
        <v>1.6</v>
      </c>
    </row>
    <row r="8" spans="1:6" x14ac:dyDescent="0.3">
      <c r="A8" s="33" t="s">
        <v>25</v>
      </c>
      <c r="B8" s="3">
        <v>79.099999999999994</v>
      </c>
      <c r="C8" s="3">
        <v>50</v>
      </c>
      <c r="D8" s="3">
        <v>20.6</v>
      </c>
      <c r="E8" s="3">
        <v>2.5</v>
      </c>
    </row>
    <row r="9" spans="1:6" x14ac:dyDescent="0.3">
      <c r="A9" s="33" t="s">
        <v>20</v>
      </c>
      <c r="B9" s="3">
        <v>86.1</v>
      </c>
      <c r="C9" s="3">
        <v>55.8</v>
      </c>
      <c r="D9" s="3">
        <v>25.5</v>
      </c>
      <c r="E9" s="3">
        <v>3.1</v>
      </c>
    </row>
    <row r="10" spans="1:6" x14ac:dyDescent="0.3">
      <c r="A10" s="33" t="s">
        <v>4</v>
      </c>
      <c r="B10" s="3">
        <v>80.900000000000006</v>
      </c>
      <c r="C10" s="3">
        <v>49.1</v>
      </c>
      <c r="D10" s="3">
        <v>22.1</v>
      </c>
      <c r="E10" s="3">
        <v>2.1</v>
      </c>
    </row>
    <row r="11" spans="1:6" x14ac:dyDescent="0.3">
      <c r="A11" s="33" t="s">
        <v>21</v>
      </c>
      <c r="B11" s="3">
        <v>84.3</v>
      </c>
      <c r="C11" s="3">
        <v>51.1</v>
      </c>
      <c r="D11" s="3">
        <v>22.9</v>
      </c>
      <c r="E11" s="3">
        <v>3.2</v>
      </c>
    </row>
    <row r="12" spans="1:6" x14ac:dyDescent="0.3">
      <c r="A12" s="33" t="s">
        <v>6</v>
      </c>
      <c r="B12" s="3">
        <v>86.1</v>
      </c>
      <c r="C12" s="3">
        <v>48.8</v>
      </c>
      <c r="D12" s="3">
        <v>23</v>
      </c>
      <c r="E12" s="3">
        <v>2.5</v>
      </c>
    </row>
    <row r="13" spans="1:6" x14ac:dyDescent="0.3">
      <c r="A13" s="34" t="s">
        <v>44</v>
      </c>
      <c r="B13" s="35">
        <f>AVERAGE(B3:B12)</f>
        <v>83.78</v>
      </c>
      <c r="C13" s="35">
        <f>AVERAGE(C3:C12)</f>
        <v>51.21</v>
      </c>
      <c r="D13" s="35">
        <f t="shared" ref="D13:E13" si="0">AVERAGE(D3:D12)</f>
        <v>22.41</v>
      </c>
      <c r="E13" s="35">
        <f t="shared" si="0"/>
        <v>2.35</v>
      </c>
    </row>
    <row r="17" spans="1:13" x14ac:dyDescent="0.3">
      <c r="A17" t="s">
        <v>47</v>
      </c>
      <c r="C17" s="3" t="s">
        <v>22</v>
      </c>
      <c r="D17" s="3" t="s">
        <v>5</v>
      </c>
      <c r="E17" s="3" t="s">
        <v>24</v>
      </c>
      <c r="F17" s="3" t="s">
        <v>23</v>
      </c>
      <c r="G17" s="3" t="s">
        <v>26</v>
      </c>
      <c r="H17" s="3" t="s">
        <v>25</v>
      </c>
      <c r="I17" s="3" t="s">
        <v>20</v>
      </c>
      <c r="J17" s="3" t="s">
        <v>4</v>
      </c>
      <c r="K17" s="3" t="s">
        <v>21</v>
      </c>
      <c r="L17" s="3" t="s">
        <v>6</v>
      </c>
      <c r="M17" s="15" t="s">
        <v>44</v>
      </c>
    </row>
    <row r="18" spans="1:13" x14ac:dyDescent="0.3">
      <c r="A18" s="3" t="s">
        <v>27</v>
      </c>
      <c r="B18" s="14" t="s">
        <v>7</v>
      </c>
      <c r="C18" s="3">
        <v>85.1</v>
      </c>
      <c r="D18" s="3">
        <v>80.8</v>
      </c>
      <c r="E18" s="3">
        <v>87.2</v>
      </c>
      <c r="F18" s="3">
        <v>83.7</v>
      </c>
      <c r="G18" s="3">
        <v>84.5</v>
      </c>
      <c r="H18" s="3">
        <v>79.099999999999994</v>
      </c>
      <c r="I18" s="3">
        <v>86.1</v>
      </c>
      <c r="J18" s="3">
        <v>80.900000000000006</v>
      </c>
      <c r="K18" s="3">
        <v>84.3</v>
      </c>
      <c r="L18" s="3">
        <v>86.1</v>
      </c>
      <c r="M18" s="16">
        <f>AVERAGE(C18:L18)</f>
        <v>83.78</v>
      </c>
    </row>
    <row r="19" spans="1:13" x14ac:dyDescent="0.3">
      <c r="A19" s="3" t="s">
        <v>28</v>
      </c>
      <c r="B19" s="14" t="s">
        <v>8</v>
      </c>
      <c r="C19" s="3">
        <v>52.3</v>
      </c>
      <c r="D19" s="3">
        <v>46.8</v>
      </c>
      <c r="E19" s="3">
        <v>54.4</v>
      </c>
      <c r="F19" s="3">
        <v>51.8</v>
      </c>
      <c r="G19" s="3">
        <v>52</v>
      </c>
      <c r="H19" s="3">
        <v>50</v>
      </c>
      <c r="I19" s="3">
        <v>55.8</v>
      </c>
      <c r="J19" s="3">
        <v>49.1</v>
      </c>
      <c r="K19" s="3">
        <v>51.1</v>
      </c>
      <c r="L19" s="3">
        <v>48.8</v>
      </c>
      <c r="M19" s="16">
        <f>AVERAGE(C19:L19)</f>
        <v>51.21</v>
      </c>
    </row>
    <row r="20" spans="1:13" x14ac:dyDescent="0.3">
      <c r="A20" s="3" t="s">
        <v>29</v>
      </c>
      <c r="B20" s="14" t="s">
        <v>9</v>
      </c>
      <c r="C20" s="3">
        <v>22.5</v>
      </c>
      <c r="D20" s="3">
        <v>19.2</v>
      </c>
      <c r="E20" s="3">
        <v>24.4</v>
      </c>
      <c r="F20" s="3">
        <v>22.1</v>
      </c>
      <c r="G20" s="3">
        <v>21.8</v>
      </c>
      <c r="H20" s="3">
        <v>20.6</v>
      </c>
      <c r="I20" s="3">
        <v>25.5</v>
      </c>
      <c r="J20" s="3">
        <v>22.1</v>
      </c>
      <c r="K20" s="3">
        <v>22.9</v>
      </c>
      <c r="L20" s="3">
        <v>23</v>
      </c>
      <c r="M20" s="16">
        <f>AVERAGE(C20:L20)</f>
        <v>22.41</v>
      </c>
    </row>
    <row r="21" spans="1:13" x14ac:dyDescent="0.3">
      <c r="A21" s="3" t="s">
        <v>30</v>
      </c>
      <c r="B21" s="14" t="s">
        <v>10</v>
      </c>
      <c r="C21" s="3">
        <v>1.8</v>
      </c>
      <c r="D21" s="3">
        <v>2.5</v>
      </c>
      <c r="E21" s="3">
        <v>2.5</v>
      </c>
      <c r="F21" s="3">
        <v>1.7</v>
      </c>
      <c r="G21" s="3">
        <v>1.6</v>
      </c>
      <c r="H21" s="3">
        <v>2.5</v>
      </c>
      <c r="I21" s="3">
        <v>3.1</v>
      </c>
      <c r="J21" s="3">
        <v>2.1</v>
      </c>
      <c r="K21" s="3">
        <v>3.2</v>
      </c>
      <c r="L21" s="3">
        <v>2.5</v>
      </c>
      <c r="M21" s="16">
        <f>AVERAGE(C21:L21)</f>
        <v>2.35</v>
      </c>
    </row>
  </sheetData>
  <customSheetViews>
    <customSheetView guid="{B4689923-BFB1-4959-AD38-52E20EC7A981}" scale="84" showPageBreaks="1">
      <selection activeCell="F10" sqref="F10"/>
      <pageMargins left="0.7" right="0.7" top="0.75" bottom="0.75" header="0.3" footer="0.3"/>
      <pageSetup orientation="portrait" horizontalDpi="360" verticalDpi="360" r:id="rId1"/>
    </customSheetView>
  </customSheetViews>
  <pageMargins left="0.7" right="0.7" top="0.75" bottom="0.75" header="0.3" footer="0.3"/>
  <pageSetup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C39C-6B68-4AAA-B407-BAFE0BFCD7E2}">
  <dimension ref="A1:G11"/>
  <sheetViews>
    <sheetView workbookViewId="0">
      <selection activeCell="E2" sqref="E2"/>
    </sheetView>
  </sheetViews>
  <sheetFormatPr baseColWidth="10" defaultRowHeight="14.4" x14ac:dyDescent="0.3"/>
  <cols>
    <col min="1" max="1" width="11.5546875" customWidth="1"/>
    <col min="2" max="2" width="7.109375" customWidth="1"/>
    <col min="3" max="3" width="8.44140625" customWidth="1"/>
    <col min="4" max="4" width="7.33203125" customWidth="1"/>
    <col min="5" max="5" width="8.109375" customWidth="1"/>
    <col min="6" max="6" width="24.44140625" customWidth="1"/>
    <col min="7" max="7" width="20.6640625" customWidth="1"/>
  </cols>
  <sheetData>
    <row r="1" spans="1:7" x14ac:dyDescent="0.3">
      <c r="A1" s="3" t="s">
        <v>31</v>
      </c>
      <c r="B1" s="3" t="s">
        <v>27</v>
      </c>
      <c r="C1" s="3" t="s">
        <v>28</v>
      </c>
      <c r="D1" s="3" t="s">
        <v>29</v>
      </c>
      <c r="E1" s="3" t="s">
        <v>30</v>
      </c>
      <c r="F1" s="3"/>
      <c r="G1" s="3"/>
    </row>
    <row r="2" spans="1:7" x14ac:dyDescent="0.3">
      <c r="A2" s="14" t="s">
        <v>42</v>
      </c>
      <c r="B2" s="14" t="s">
        <v>7</v>
      </c>
      <c r="C2" s="14" t="s">
        <v>8</v>
      </c>
      <c r="D2" s="14" t="s">
        <v>9</v>
      </c>
      <c r="E2" s="14" t="s">
        <v>10</v>
      </c>
      <c r="F2" s="3"/>
      <c r="G2" s="3"/>
    </row>
    <row r="3" spans="1:7" x14ac:dyDescent="0.3">
      <c r="A3" s="6">
        <v>45658</v>
      </c>
      <c r="B3" s="3">
        <v>86.2</v>
      </c>
      <c r="C3" s="3">
        <v>56.2</v>
      </c>
      <c r="D3" s="3">
        <v>24.1</v>
      </c>
      <c r="E3" s="20">
        <v>3</v>
      </c>
    </row>
    <row r="4" spans="1:7" x14ac:dyDescent="0.3">
      <c r="A4" s="6">
        <v>45689</v>
      </c>
      <c r="B4" s="3">
        <v>86.8</v>
      </c>
      <c r="C4" s="3">
        <v>56</v>
      </c>
      <c r="D4" s="3">
        <v>24.6</v>
      </c>
      <c r="E4" s="3">
        <v>2.7</v>
      </c>
    </row>
    <row r="5" spans="1:7" x14ac:dyDescent="0.3">
      <c r="A5" s="6">
        <v>45717</v>
      </c>
      <c r="B5" s="3">
        <v>87.7</v>
      </c>
      <c r="C5" s="20">
        <v>56.8</v>
      </c>
      <c r="D5" s="20">
        <v>26.6</v>
      </c>
      <c r="E5" s="20">
        <v>3</v>
      </c>
    </row>
    <row r="6" spans="1:7" x14ac:dyDescent="0.3">
      <c r="A6" s="6">
        <v>45748</v>
      </c>
      <c r="B6" s="3">
        <v>87.2</v>
      </c>
      <c r="C6" s="3">
        <v>53.9</v>
      </c>
      <c r="D6" s="3">
        <v>23</v>
      </c>
      <c r="E6" s="3">
        <v>2</v>
      </c>
    </row>
    <row r="7" spans="1:7" x14ac:dyDescent="0.3">
      <c r="A7" s="6">
        <v>45778</v>
      </c>
      <c r="B7" s="3">
        <v>86</v>
      </c>
      <c r="C7" s="3">
        <v>54.5</v>
      </c>
      <c r="D7" s="3">
        <v>26.2</v>
      </c>
      <c r="E7" s="20">
        <v>3</v>
      </c>
    </row>
    <row r="8" spans="1:7" x14ac:dyDescent="0.3">
      <c r="A8" s="6">
        <v>45809</v>
      </c>
      <c r="B8" s="21">
        <v>85.9</v>
      </c>
      <c r="C8" s="3">
        <v>55.1</v>
      </c>
      <c r="D8" s="3">
        <v>25.2</v>
      </c>
      <c r="E8" s="3">
        <v>2.1</v>
      </c>
    </row>
    <row r="9" spans="1:7" x14ac:dyDescent="0.3">
      <c r="A9" s="6">
        <v>45839</v>
      </c>
      <c r="B9" s="3">
        <v>86.4</v>
      </c>
      <c r="C9" s="3">
        <v>56.4</v>
      </c>
      <c r="D9" s="3">
        <v>25.9</v>
      </c>
      <c r="E9" s="3">
        <v>2.7</v>
      </c>
    </row>
    <row r="10" spans="1:7" x14ac:dyDescent="0.3">
      <c r="A10" s="6">
        <v>45870</v>
      </c>
      <c r="B10" s="20">
        <v>70.8</v>
      </c>
      <c r="C10" s="21">
        <v>29.7</v>
      </c>
      <c r="D10" s="21">
        <v>7.5</v>
      </c>
      <c r="E10" s="21">
        <v>0.2</v>
      </c>
    </row>
    <row r="11" spans="1:7" x14ac:dyDescent="0.3">
      <c r="A11" s="15" t="s">
        <v>44</v>
      </c>
      <c r="B11" s="16">
        <f>AVERAGE(B3:B10)</f>
        <v>84.624999999999986</v>
      </c>
      <c r="C11" s="16">
        <f t="shared" ref="C11:E11" si="0">AVERAGE(C3:C10)</f>
        <v>52.324999999999996</v>
      </c>
      <c r="D11" s="16">
        <f t="shared" si="0"/>
        <v>22.887500000000003</v>
      </c>
      <c r="E11" s="16">
        <f t="shared" si="0"/>
        <v>2.3374999999999999</v>
      </c>
    </row>
  </sheetData>
  <customSheetViews>
    <customSheetView guid="{B4689923-BFB1-4959-AD38-52E20EC7A981}" showPageBreaks="1">
      <selection activeCell="E2" sqref="E2"/>
      <pageMargins left="0.7" right="0.7" top="0.75" bottom="0.75" header="0.3" footer="0.3"/>
      <pageSetup orientation="portrait" horizontalDpi="360" verticalDpi="360" r:id="rId1"/>
    </customSheetView>
  </customSheetViews>
  <pageMargins left="0.7" right="0.7" top="0.75" bottom="0.75" header="0.3" footer="0.3"/>
  <pageSetup orientation="portrait" horizontalDpi="360" verticalDpi="36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BC6A-0CE9-46CF-A3D2-F8BE4C185494}">
  <dimension ref="A1:G25"/>
  <sheetViews>
    <sheetView workbookViewId="0">
      <selection activeCell="I16" sqref="I16"/>
    </sheetView>
  </sheetViews>
  <sheetFormatPr baseColWidth="10" defaultRowHeight="14.4" x14ac:dyDescent="0.3"/>
  <cols>
    <col min="1" max="1" width="8.44140625" customWidth="1"/>
    <col min="2" max="5" width="7" customWidth="1"/>
  </cols>
  <sheetData>
    <row r="1" spans="1:7" ht="28.8" customHeight="1" x14ac:dyDescent="0.3">
      <c r="A1" s="1" t="s">
        <v>40</v>
      </c>
      <c r="B1">
        <v>12000</v>
      </c>
    </row>
    <row r="2" spans="1:7" ht="28.8" customHeight="1" x14ac:dyDescent="0.3">
      <c r="A2" s="1"/>
    </row>
    <row r="3" spans="1:7" x14ac:dyDescent="0.3">
      <c r="A3" s="86" t="s">
        <v>55</v>
      </c>
      <c r="B3" s="86"/>
      <c r="C3" s="86"/>
      <c r="D3" s="86"/>
      <c r="E3" s="86"/>
    </row>
    <row r="4" spans="1:7" x14ac:dyDescent="0.3">
      <c r="A4" s="33" t="s">
        <v>31</v>
      </c>
      <c r="B4" s="33" t="s">
        <v>7</v>
      </c>
      <c r="C4" s="33" t="s">
        <v>8</v>
      </c>
      <c r="D4" s="33" t="s">
        <v>9</v>
      </c>
      <c r="E4" s="33" t="s">
        <v>10</v>
      </c>
      <c r="F4" s="3"/>
      <c r="G4" s="3"/>
    </row>
    <row r="5" spans="1:7" x14ac:dyDescent="0.3">
      <c r="A5" s="37">
        <v>45658</v>
      </c>
      <c r="B5">
        <f>($B$1*B18)/100</f>
        <v>10344</v>
      </c>
      <c r="C5">
        <f t="shared" ref="C5:E5" si="0">($B$1*C18)/100</f>
        <v>6744</v>
      </c>
      <c r="D5">
        <f t="shared" si="0"/>
        <v>2892</v>
      </c>
      <c r="E5">
        <f t="shared" si="0"/>
        <v>360</v>
      </c>
    </row>
    <row r="6" spans="1:7" x14ac:dyDescent="0.3">
      <c r="A6" s="37">
        <v>45689</v>
      </c>
      <c r="B6">
        <f t="shared" ref="B6:E6" si="1">($B$1*B19)/100</f>
        <v>10416</v>
      </c>
      <c r="C6">
        <f t="shared" si="1"/>
        <v>6720</v>
      </c>
      <c r="D6">
        <f t="shared" si="1"/>
        <v>2952</v>
      </c>
      <c r="E6">
        <f t="shared" si="1"/>
        <v>324.00000000000006</v>
      </c>
    </row>
    <row r="7" spans="1:7" x14ac:dyDescent="0.3">
      <c r="A7" s="37">
        <v>45717</v>
      </c>
      <c r="B7">
        <f t="shared" ref="B7:E7" si="2">($B$1*B20)/100</f>
        <v>10524</v>
      </c>
      <c r="C7">
        <f t="shared" si="2"/>
        <v>6816</v>
      </c>
      <c r="D7">
        <f t="shared" si="2"/>
        <v>3192</v>
      </c>
      <c r="E7">
        <f t="shared" si="2"/>
        <v>360</v>
      </c>
    </row>
    <row r="8" spans="1:7" x14ac:dyDescent="0.3">
      <c r="A8" s="37">
        <v>45748</v>
      </c>
      <c r="B8">
        <f t="shared" ref="B8:E8" si="3">($B$1*B21)/100</f>
        <v>10464</v>
      </c>
      <c r="C8">
        <f t="shared" si="3"/>
        <v>6468</v>
      </c>
      <c r="D8">
        <f t="shared" si="3"/>
        <v>2760</v>
      </c>
      <c r="E8">
        <f t="shared" si="3"/>
        <v>240</v>
      </c>
    </row>
    <row r="9" spans="1:7" x14ac:dyDescent="0.3">
      <c r="A9" s="37">
        <v>45778</v>
      </c>
      <c r="B9">
        <f t="shared" ref="B9:D9" si="4">($B$1*B22)/100</f>
        <v>10320</v>
      </c>
      <c r="C9">
        <f t="shared" si="4"/>
        <v>6540</v>
      </c>
      <c r="D9">
        <f t="shared" si="4"/>
        <v>3144</v>
      </c>
      <c r="E9">
        <f>($B$1*E22)/100</f>
        <v>360</v>
      </c>
    </row>
    <row r="10" spans="1:7" x14ac:dyDescent="0.3">
      <c r="A10" s="37">
        <v>45809</v>
      </c>
      <c r="B10">
        <f t="shared" ref="B10:E10" si="5">($B$1*B23)/100</f>
        <v>10308.000000000002</v>
      </c>
      <c r="C10">
        <f t="shared" si="5"/>
        <v>6612</v>
      </c>
      <c r="D10">
        <f t="shared" si="5"/>
        <v>3024</v>
      </c>
      <c r="E10">
        <f t="shared" si="5"/>
        <v>252</v>
      </c>
    </row>
    <row r="11" spans="1:7" x14ac:dyDescent="0.3">
      <c r="A11" s="37">
        <v>45839</v>
      </c>
      <c r="B11">
        <f t="shared" ref="B11:E11" si="6">($B$1*B24)/100</f>
        <v>10368.000000000002</v>
      </c>
      <c r="C11">
        <f t="shared" si="6"/>
        <v>6768</v>
      </c>
      <c r="D11">
        <f t="shared" si="6"/>
        <v>3108</v>
      </c>
      <c r="E11">
        <f t="shared" si="6"/>
        <v>324.00000000000006</v>
      </c>
    </row>
    <row r="12" spans="1:7" x14ac:dyDescent="0.3">
      <c r="A12" s="37">
        <v>45870</v>
      </c>
      <c r="B12">
        <f t="shared" ref="B12:E12" si="7">($B$1*B25)/100</f>
        <v>8496</v>
      </c>
      <c r="C12">
        <f t="shared" si="7"/>
        <v>3564</v>
      </c>
      <c r="D12">
        <f t="shared" si="7"/>
        <v>900</v>
      </c>
      <c r="E12">
        <f t="shared" si="7"/>
        <v>24</v>
      </c>
      <c r="G12">
        <f>SUM(B13:E13)</f>
        <v>155688</v>
      </c>
    </row>
    <row r="13" spans="1:7" x14ac:dyDescent="0.3">
      <c r="A13" s="38" t="s">
        <v>41</v>
      </c>
      <c r="B13" s="38">
        <f>SUM(B5:B12)</f>
        <v>81240</v>
      </c>
      <c r="C13" s="38">
        <f t="shared" ref="C13:E13" si="8">SUM(C5:C12)</f>
        <v>50232</v>
      </c>
      <c r="D13" s="38">
        <f t="shared" si="8"/>
        <v>21972</v>
      </c>
      <c r="E13" s="38">
        <f t="shared" si="8"/>
        <v>2244</v>
      </c>
    </row>
    <row r="17" spans="1:5" x14ac:dyDescent="0.3">
      <c r="A17" s="3" t="s">
        <v>31</v>
      </c>
      <c r="B17" s="3" t="s">
        <v>27</v>
      </c>
      <c r="C17" s="3" t="s">
        <v>28</v>
      </c>
      <c r="D17" s="3" t="s">
        <v>29</v>
      </c>
      <c r="E17" s="3" t="s">
        <v>30</v>
      </c>
    </row>
    <row r="18" spans="1:5" x14ac:dyDescent="0.3">
      <c r="A18" s="6">
        <v>45658</v>
      </c>
      <c r="B18" s="3">
        <v>86.2</v>
      </c>
      <c r="C18" s="3">
        <v>56.2</v>
      </c>
      <c r="D18" s="3">
        <v>24.1</v>
      </c>
      <c r="E18" s="3">
        <v>3</v>
      </c>
    </row>
    <row r="19" spans="1:5" x14ac:dyDescent="0.3">
      <c r="A19" s="6">
        <v>45689</v>
      </c>
      <c r="B19" s="3">
        <v>86.8</v>
      </c>
      <c r="C19" s="3">
        <v>56</v>
      </c>
      <c r="D19" s="3">
        <v>24.6</v>
      </c>
      <c r="E19" s="3">
        <v>2.7</v>
      </c>
    </row>
    <row r="20" spans="1:5" x14ac:dyDescent="0.3">
      <c r="A20" s="6">
        <v>45717</v>
      </c>
      <c r="B20" s="3">
        <v>87.7</v>
      </c>
      <c r="C20" s="3">
        <v>56.8</v>
      </c>
      <c r="D20" s="3">
        <v>26.6</v>
      </c>
      <c r="E20" s="3">
        <v>3</v>
      </c>
    </row>
    <row r="21" spans="1:5" x14ac:dyDescent="0.3">
      <c r="A21" s="6">
        <v>45748</v>
      </c>
      <c r="B21" s="3">
        <v>87.2</v>
      </c>
      <c r="C21" s="3">
        <v>53.9</v>
      </c>
      <c r="D21" s="3">
        <v>23</v>
      </c>
      <c r="E21" s="3">
        <v>2</v>
      </c>
    </row>
    <row r="22" spans="1:5" x14ac:dyDescent="0.3">
      <c r="A22" s="6">
        <v>45778</v>
      </c>
      <c r="B22" s="3">
        <v>86</v>
      </c>
      <c r="C22" s="3">
        <v>54.5</v>
      </c>
      <c r="D22" s="3">
        <v>26.2</v>
      </c>
      <c r="E22" s="3">
        <v>3</v>
      </c>
    </row>
    <row r="23" spans="1:5" x14ac:dyDescent="0.3">
      <c r="A23" s="6">
        <v>45809</v>
      </c>
      <c r="B23" s="3">
        <v>85.9</v>
      </c>
      <c r="C23" s="3">
        <v>55.1</v>
      </c>
      <c r="D23" s="3">
        <v>25.2</v>
      </c>
      <c r="E23" s="3">
        <v>2.1</v>
      </c>
    </row>
    <row r="24" spans="1:5" x14ac:dyDescent="0.3">
      <c r="A24" s="6">
        <v>45839</v>
      </c>
      <c r="B24" s="3">
        <v>86.4</v>
      </c>
      <c r="C24" s="3">
        <v>56.4</v>
      </c>
      <c r="D24" s="3">
        <v>25.9</v>
      </c>
      <c r="E24" s="3">
        <v>2.7</v>
      </c>
    </row>
    <row r="25" spans="1:5" x14ac:dyDescent="0.3">
      <c r="A25" s="6">
        <v>45870</v>
      </c>
      <c r="B25" s="3">
        <v>70.8</v>
      </c>
      <c r="C25" s="3">
        <v>29.7</v>
      </c>
      <c r="D25" s="3">
        <v>7.5</v>
      </c>
      <c r="E25" s="3">
        <v>0.2</v>
      </c>
    </row>
  </sheetData>
  <customSheetViews>
    <customSheetView guid="{B4689923-BFB1-4959-AD38-52E20EC7A981}" showPageBreaks="1">
      <selection activeCell="G12" sqref="G12"/>
      <pageMargins left="0.7" right="0.7" top="0.75" bottom="0.75" header="0.3" footer="0.3"/>
      <pageSetup orientation="portrait" horizontalDpi="360" verticalDpi="360" r:id="rId1"/>
    </customSheetView>
  </customSheetViews>
  <mergeCells count="1">
    <mergeCell ref="A3:E3"/>
  </mergeCell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CFI </vt:lpstr>
      <vt:lpstr>Embudo General</vt:lpstr>
      <vt:lpstr>Embudo General por país</vt:lpstr>
      <vt:lpstr>Retención por País</vt:lpstr>
      <vt:lpstr>Retención por cohorte</vt:lpstr>
      <vt:lpstr>Total de usuarios por cohorte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JAVIER BRAVO NEGRETE</cp:lastModifiedBy>
  <cp:lastPrinted>2026-05-26T21:00:52Z</cp:lastPrinted>
  <dcterms:created xsi:type="dcterms:W3CDTF">2026-05-24T19:57:50Z</dcterms:created>
  <dcterms:modified xsi:type="dcterms:W3CDTF">2026-05-26T21:00:57Z</dcterms:modified>
</cp:coreProperties>
</file>